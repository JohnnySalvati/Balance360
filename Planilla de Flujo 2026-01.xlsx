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rances" sheetId="1" r:id="rId4"/>
    <sheet state="visible" name="Ciudad" sheetId="2" r:id="rId5"/>
    <sheet state="visible" name="MP" sheetId="3" r:id="rId6"/>
    <sheet state="visible" name="TIA" sheetId="4" r:id="rId7"/>
    <sheet state="visible" name="Vieja" sheetId="5" r:id="rId8"/>
  </sheets>
  <definedNames/>
  <calcPr/>
</workbook>
</file>

<file path=xl/sharedStrings.xml><?xml version="1.0" encoding="utf-8"?>
<sst xmlns="http://schemas.openxmlformats.org/spreadsheetml/2006/main" count="558" uniqueCount="289">
  <si>
    <t>date</t>
  </si>
  <si>
    <t>description</t>
  </si>
  <si>
    <t>Debito</t>
  </si>
  <si>
    <t>Credito</t>
  </si>
  <si>
    <t>Saldo</t>
  </si>
  <si>
    <t>U$S</t>
  </si>
  <si>
    <t>AOMA AWS + SignReady + Autofiller + Semaforo + Hotmail</t>
  </si>
  <si>
    <t>al ciudad</t>
  </si>
  <si>
    <t>Prosegur</t>
  </si>
  <si>
    <t xml:space="preserve">honorarios ciudad </t>
  </si>
  <si>
    <t>VISA Frances</t>
  </si>
  <si>
    <t>de mp</t>
  </si>
  <si>
    <t>devolucion VISA</t>
  </si>
  <si>
    <t>AOMA Compus Secretariado</t>
  </si>
  <si>
    <t>AOMA Notebooks Maxi y materiales reparacion notebooks</t>
  </si>
  <si>
    <t xml:space="preserve">devolucion prestamo chelo </t>
  </si>
  <si>
    <t>AOMA Compus Secretariado Fullh4rd + Notebooks Maxi</t>
  </si>
  <si>
    <t xml:space="preserve">AOMA Diferencia  Compus Secretariado - descontamos NC </t>
  </si>
  <si>
    <t>AOMA Compus Secretariado AIR</t>
  </si>
  <si>
    <t>Moratoria autonomos 4/60</t>
  </si>
  <si>
    <t>AIR coolers</t>
  </si>
  <si>
    <t>aoma compus seccional bsas</t>
  </si>
  <si>
    <t>Venex compus aoma seccional bsas</t>
  </si>
  <si>
    <t>a mp</t>
  </si>
  <si>
    <t>AOMA Notebooks Maxi</t>
  </si>
  <si>
    <t>AIR AOMA Notebooks MAxi</t>
  </si>
  <si>
    <t>Sircreb</t>
  </si>
  <si>
    <t xml:space="preserve">compra U$S MEP 1014= U$S 0.6032 c/u AL30 </t>
  </si>
  <si>
    <t>SIRCREb</t>
  </si>
  <si>
    <t>AOMA 2 compus y 1 notebook</t>
  </si>
  <si>
    <t xml:space="preserve">AIR AOMA   </t>
  </si>
  <si>
    <t>Venex AOMA</t>
  </si>
  <si>
    <t>reintegro promo</t>
  </si>
  <si>
    <t>Moratoria autonomos 5/60</t>
  </si>
  <si>
    <t>venex</t>
  </si>
  <si>
    <t>Devolucion VISA</t>
  </si>
  <si>
    <t>AOMA UPS's</t>
  </si>
  <si>
    <t>AOMA SSD</t>
  </si>
  <si>
    <t>AIR UPS y SSD</t>
  </si>
  <si>
    <t>Alquileres Venezuela</t>
  </si>
  <si>
    <t xml:space="preserve">compra U$S MEP 1842= U$S 0.6073 c/u AL30 </t>
  </si>
  <si>
    <t>AOMA Impresora y Notebook</t>
  </si>
  <si>
    <t>Venex</t>
  </si>
  <si>
    <t>Claudio Prestamo</t>
  </si>
  <si>
    <t>AIR Notebook $ 1,156,611.23</t>
  </si>
  <si>
    <t>sircreb</t>
  </si>
  <si>
    <t xml:space="preserve">compra U$S MEP 1710= U$S 0.6103 c/u AL30 </t>
  </si>
  <si>
    <t>deposito</t>
  </si>
  <si>
    <t>Moratoria autonomos 6/60</t>
  </si>
  <si>
    <t>compra comida</t>
  </si>
  <si>
    <t>Claudio Venezuela</t>
  </si>
  <si>
    <t>comision</t>
  </si>
  <si>
    <t>AOMA Compu hig y seg</t>
  </si>
  <si>
    <t>AIR compu AOMA</t>
  </si>
  <si>
    <t>AOMA NAS y HDS</t>
  </si>
  <si>
    <t>AIR NAS y HDs AOMA</t>
  </si>
  <si>
    <t xml:space="preserve">compra  780= U$S 0.73 c/u AL41 </t>
  </si>
  <si>
    <t>del ciudad</t>
  </si>
  <si>
    <t xml:space="preserve">compra  838= U$S 0.864 c/u GD38D </t>
  </si>
  <si>
    <t>Moratoria autonomos 7/60</t>
  </si>
  <si>
    <t>venta 1670= U$S 0.642 AL30</t>
  </si>
  <si>
    <t>Claudio debe U$S 1400</t>
  </si>
  <si>
    <t>Moratoria autonomos 8/60</t>
  </si>
  <si>
    <t>Fecha</t>
  </si>
  <si>
    <t>BANCO CIUDAD Amorlinda</t>
  </si>
  <si>
    <t>Interes</t>
  </si>
  <si>
    <t>Interes Mensual</t>
  </si>
  <si>
    <t>Alquiler Venezuela DANTE</t>
  </si>
  <si>
    <t>Alquiler Venezuela Claudio</t>
  </si>
  <si>
    <t>AOMA Abono</t>
  </si>
  <si>
    <t>del frances</t>
  </si>
  <si>
    <t>VISA ciudad</t>
  </si>
  <si>
    <t>Honorarios Frances</t>
  </si>
  <si>
    <t>ABL Aroma 16/18</t>
  </si>
  <si>
    <t>Patente 3008 16/18</t>
  </si>
  <si>
    <t>ABL Venezuela 16/18</t>
  </si>
  <si>
    <t>alquileres Venezuela Bichongo</t>
  </si>
  <si>
    <t>AOMA Arreglo notebooks Maxi</t>
  </si>
  <si>
    <t>compra dolares U$S</t>
  </si>
  <si>
    <t>AOMA Adicionales</t>
  </si>
  <si>
    <t>Sueldo Gaby</t>
  </si>
  <si>
    <t>chino Monotributo</t>
  </si>
  <si>
    <t>ABL Aroma 17/18</t>
  </si>
  <si>
    <t>Fullh4rd</t>
  </si>
  <si>
    <t>Air</t>
  </si>
  <si>
    <t>Limerick</t>
  </si>
  <si>
    <t>Patente 3008 17/18</t>
  </si>
  <si>
    <t>ABL Venezuela 17/18</t>
  </si>
  <si>
    <t>AOMA Diferencia Abono</t>
  </si>
  <si>
    <t>compu Juan Silvana</t>
  </si>
  <si>
    <t>Lucio amigo chulino</t>
  </si>
  <si>
    <t>Impresora y varios Gustavo Marilu</t>
  </si>
  <si>
    <t xml:space="preserve"> </t>
  </si>
  <si>
    <t>reintegro modo</t>
  </si>
  <si>
    <t>ABL Aroma 18/18</t>
  </si>
  <si>
    <t>Patente 3008 18/18</t>
  </si>
  <si>
    <t>ABL Venezuela 18/18</t>
  </si>
  <si>
    <t>VEP Jubilacion Gaby</t>
  </si>
  <si>
    <t>Cristina Meilan</t>
  </si>
  <si>
    <t>modo</t>
  </si>
  <si>
    <t>al frances</t>
  </si>
  <si>
    <t>Edesur TIA</t>
  </si>
  <si>
    <t>AYSA Venezuela $ 68,461.96 VISA</t>
  </si>
  <si>
    <t>AYSA Aroma $15.800 VISA</t>
  </si>
  <si>
    <t>Alquiler Irigoyen</t>
  </si>
  <si>
    <t xml:space="preserve">alquiler venezuela </t>
  </si>
  <si>
    <t>alquiler pochi</t>
  </si>
  <si>
    <t>Polleria</t>
  </si>
  <si>
    <t>Devolucion ML</t>
  </si>
  <si>
    <t>Anthony Arreglo tanque</t>
  </si>
  <si>
    <t>SUbe</t>
  </si>
  <si>
    <t>uber</t>
  </si>
  <si>
    <t>Senra</t>
  </si>
  <si>
    <t>Metrogas 5/12 $ 7,960.65 VISA</t>
  </si>
  <si>
    <t>Metrogas Aroma $ 38,758.28 VISA</t>
  </si>
  <si>
    <t>Autonomos</t>
  </si>
  <si>
    <t>Movistar Aroma $ 25.883.75 VISA</t>
  </si>
  <si>
    <t>Movistar Todos $59.554.98 VISA</t>
  </si>
  <si>
    <t>verduleria</t>
  </si>
  <si>
    <t>Agua Villa del sur</t>
  </si>
  <si>
    <t>sube</t>
  </si>
  <si>
    <t>extraccion coto</t>
  </si>
  <si>
    <t>coto</t>
  </si>
  <si>
    <t>prestamo chelo</t>
  </si>
  <si>
    <t>Patentamiento AUTO</t>
  </si>
  <si>
    <t>AOMA Bsas $163.000 + 35.000</t>
  </si>
  <si>
    <t>Telecentro Tia  $ 46,679.87 VISA</t>
  </si>
  <si>
    <t>Gaby</t>
  </si>
  <si>
    <t>Naty Ingles</t>
  </si>
  <si>
    <t>Sueldo Fabiana $220</t>
  </si>
  <si>
    <t>Metrogas Tia $9196.59 VISA</t>
  </si>
  <si>
    <t>pochoclos</t>
  </si>
  <si>
    <t>chulino entradas</t>
  </si>
  <si>
    <t>Multas 3/9</t>
  </si>
  <si>
    <t>Monotributo Gaby</t>
  </si>
  <si>
    <t>Edesur TIA Venezuela</t>
  </si>
  <si>
    <t>caravario marcela</t>
  </si>
  <si>
    <t>maria dolores gonzalez</t>
  </si>
  <si>
    <t>Edesur Aroma</t>
  </si>
  <si>
    <t>garcia mata</t>
  </si>
  <si>
    <t>IVA 9/25</t>
  </si>
  <si>
    <t>Metrogas 6/12 $7960.65 VISA</t>
  </si>
  <si>
    <t>Metrogas Aroma $ 38,835.75 VISA</t>
  </si>
  <si>
    <t>AYSA Aroma $16285.86 VISA</t>
  </si>
  <si>
    <t>IIBB 2025-12</t>
  </si>
  <si>
    <t xml:space="preserve">Alquiler Venezuela </t>
  </si>
  <si>
    <t>AOMA Bsas $373.000 + 35.000</t>
  </si>
  <si>
    <t>agustin cancio</t>
  </si>
  <si>
    <t>Pochi</t>
  </si>
  <si>
    <t>AYSA Venezuela   $70565.34 VISA</t>
  </si>
  <si>
    <t>Movistar Todos $63399.09</t>
  </si>
  <si>
    <t>Movistar Aroma $ 27483.75</t>
  </si>
  <si>
    <t>Telecentro Tia  $ 47979.87 VISA</t>
  </si>
  <si>
    <t>gaby expo</t>
  </si>
  <si>
    <t>libros cunita</t>
  </si>
  <si>
    <t>polleria</t>
  </si>
  <si>
    <t>chelo cafe</t>
  </si>
  <si>
    <t>Metrogas Tia $8366.82 VISA</t>
  </si>
  <si>
    <t>IVA 11/25</t>
  </si>
  <si>
    <t>deuda ARCA</t>
  </si>
  <si>
    <t>Multas 4/9</t>
  </si>
  <si>
    <t xml:space="preserve">jonathan </t>
  </si>
  <si>
    <t>kinesio</t>
  </si>
  <si>
    <t>sergi</t>
  </si>
  <si>
    <t>senra</t>
  </si>
  <si>
    <t xml:space="preserve">SSD Gustavo Marilu U$S </t>
  </si>
  <si>
    <t>AOMA Bsas $461.000 + 38.000</t>
  </si>
  <si>
    <t>abl Venezuela 2026-01 $139815.62</t>
  </si>
  <si>
    <t>abl Venezuela 2026-02 $137381.47</t>
  </si>
  <si>
    <t>abl Venezuela 2026-03 $ 117681.67</t>
  </si>
  <si>
    <t>Metrogas Aroma $36462.09 VISA</t>
  </si>
  <si>
    <t xml:space="preserve">alquiler Venezuela </t>
  </si>
  <si>
    <t>Metrogas 7/12 $7,960.65 VISA</t>
  </si>
  <si>
    <t>AYSA Aroma $17414.72</t>
  </si>
  <si>
    <t>Sueldo Fabiana $240</t>
  </si>
  <si>
    <t>AYSA Venezuela $ 75,456.52 VISA</t>
  </si>
  <si>
    <t xml:space="preserve">AIr compu Elio </t>
  </si>
  <si>
    <t>Movistar Aroma $29752.50 VISA</t>
  </si>
  <si>
    <t>Movistar Todos $66670.66 VISA</t>
  </si>
  <si>
    <t>IIBB 2026-01</t>
  </si>
  <si>
    <t>Telecentro TIA $ 56793 VISA</t>
  </si>
  <si>
    <t>Metrogas TIA $8426.21 VISA</t>
  </si>
  <si>
    <t>IVA 12/25</t>
  </si>
  <si>
    <t>Mariano Viola Compu</t>
  </si>
  <si>
    <t>Air compu Mariano</t>
  </si>
  <si>
    <t>AFIP al pedo</t>
  </si>
  <si>
    <t>Multas 5/9</t>
  </si>
  <si>
    <t>IIBB 2026-02</t>
  </si>
  <si>
    <t>luis daniel Gonzalez</t>
  </si>
  <si>
    <t>Melina sol roznaski</t>
  </si>
  <si>
    <t>Panaderia</t>
  </si>
  <si>
    <t>no se</t>
  </si>
  <si>
    <t>coco</t>
  </si>
  <si>
    <t>chelo morfi</t>
  </si>
  <si>
    <t>Metrogas Aroma $36,585.19 VISA</t>
  </si>
  <si>
    <t>Sergi</t>
  </si>
  <si>
    <t>devolucion prestamo chulino</t>
  </si>
  <si>
    <t>Naturaleza Viva</t>
  </si>
  <si>
    <t>Sube</t>
  </si>
  <si>
    <t>AOMA BsAs $ 191.000 + $ 38.000</t>
  </si>
  <si>
    <t>devolucion prestamo chelo</t>
  </si>
  <si>
    <t>Sueldo Fabiana $170</t>
  </si>
  <si>
    <t>Metrogas 8/12 $7960.65 VISA</t>
  </si>
  <si>
    <t>Metrogas v.gomez $37528.68 VISA</t>
  </si>
  <si>
    <t>Movistar Todos $ 67352.34 VISA</t>
  </si>
  <si>
    <t>Movistar  Aroma $31900 VISA</t>
  </si>
  <si>
    <t>Telecentro TIA $56793 VISA</t>
  </si>
  <si>
    <t>Uber</t>
  </si>
  <si>
    <t>alien romina mandarino</t>
  </si>
  <si>
    <t>IIBB 2026-03</t>
  </si>
  <si>
    <t>Laura Dolores Elizondo</t>
  </si>
  <si>
    <t>ROI Dientes</t>
  </si>
  <si>
    <t>Edesur V.Gomez</t>
  </si>
  <si>
    <t>Metrogas TIA $ 8.952,93 VISA</t>
  </si>
  <si>
    <t>abl Venezuela 2026-04 $ 119,787.40</t>
  </si>
  <si>
    <t>IVA 01/26</t>
  </si>
  <si>
    <t>Multas 6/9</t>
  </si>
  <si>
    <t>Metrogas V.gomez $37202.35</t>
  </si>
  <si>
    <t>Metogas Aroma $ 45,445.01</t>
  </si>
  <si>
    <t>Metrogas Aroma $37202.35</t>
  </si>
  <si>
    <t>Metrogas 9/12</t>
  </si>
  <si>
    <t>AYSA Aroma $ 18,319.38</t>
  </si>
  <si>
    <t>AYSA Venezuela $ 79,376.39</t>
  </si>
  <si>
    <t>IIBB 2026-04</t>
  </si>
  <si>
    <t>IVA 02/26</t>
  </si>
  <si>
    <t>Multas 7/9</t>
  </si>
  <si>
    <t>Metrogas 10/12</t>
  </si>
  <si>
    <t>IIBB 2026-05</t>
  </si>
  <si>
    <t>Multas 8/9</t>
  </si>
  <si>
    <t>Metrogas 11/12</t>
  </si>
  <si>
    <t>IIBB 2026-06</t>
  </si>
  <si>
    <t>Multas 9/9</t>
  </si>
  <si>
    <t>Metrogas 12/12</t>
  </si>
  <si>
    <t>Metrogas Tia Venezuela</t>
  </si>
  <si>
    <t>Telecentro TIA</t>
  </si>
  <si>
    <t>Pagado 3/8/24</t>
  </si>
  <si>
    <t>Metrogas Tia Venezuela $ 6,338.29</t>
  </si>
  <si>
    <t>pagado 33000</t>
  </si>
  <si>
    <t>Metrogas Tia Venezuela VISA $ 9555.17</t>
  </si>
  <si>
    <t>Telecentro TIA 18017.55 VISA Noviembre</t>
  </si>
  <si>
    <t>Telecentro TIA 18893.79 VISA Diciembre</t>
  </si>
  <si>
    <t>Pagado 30/11/24</t>
  </si>
  <si>
    <t>Metrogas Tia Venezuela $7040.48 VISA</t>
  </si>
  <si>
    <t xml:space="preserve">Telecentro TIA </t>
  </si>
  <si>
    <t>Telecentro TIA $ 40343.41 VISA</t>
  </si>
  <si>
    <t>metrogas  tia  venezuela VISA $ 6780.44</t>
  </si>
  <si>
    <t>Pagado</t>
  </si>
  <si>
    <t>Telecentro TIA $ 39148.25 VISA</t>
  </si>
  <si>
    <t>Metrogas Tia $6472.04</t>
  </si>
  <si>
    <t>Metrogas TIA Venezuela $6334.08</t>
  </si>
  <si>
    <t>Telecentro TIA $ 40,716.62 VISA</t>
  </si>
  <si>
    <t>Telecentro TIA $49,055.49 VISA</t>
  </si>
  <si>
    <t xml:space="preserve">Metrogas Tia </t>
  </si>
  <si>
    <t>Telecentro TIA Venezuela $59,523.11 VISA</t>
  </si>
  <si>
    <t>Metrogas Tia $5533.33</t>
  </si>
  <si>
    <t>Telecentro TIA $ 54957.56 VISA</t>
  </si>
  <si>
    <t>Metrogas TIA Venezuela $7070.08</t>
  </si>
  <si>
    <t xml:space="preserve">edesur TIA Venezuela </t>
  </si>
  <si>
    <t>Metrogas TIA Venezuela $6754.91 VISA</t>
  </si>
  <si>
    <t>Telecentro TIA $77257.49 VISA</t>
  </si>
  <si>
    <t>Metrogas TIA Venezuela $15,380.85 VISA</t>
  </si>
  <si>
    <t>Telecentro TIA $ 80193 VISA</t>
  </si>
  <si>
    <t>Telecentro TIA $  42,245.25 VISA</t>
  </si>
  <si>
    <t>Pagado 4/9/25</t>
  </si>
  <si>
    <t>Metrogas TIA Venezuela</t>
  </si>
  <si>
    <t>Pagado 8/10/25</t>
  </si>
  <si>
    <t>Metrogas TIA Venezuela $13,122.20 VISA</t>
  </si>
  <si>
    <t xml:space="preserve">Edesur TIA Venezuela </t>
  </si>
  <si>
    <t>Telecentro Tia Venezuela $ 43509.38 VISA</t>
  </si>
  <si>
    <t>Edesur Tia Venezuela</t>
  </si>
  <si>
    <t xml:space="preserve">Metrogas TIA </t>
  </si>
  <si>
    <t xml:space="preserve">Telecentro Tia  </t>
  </si>
  <si>
    <t>Telecentro TIA $</t>
  </si>
  <si>
    <t>GCBA ABL Vieja</t>
  </si>
  <si>
    <t>TELEFONICA Vieja</t>
  </si>
  <si>
    <t>Metrogas - METROGAS Vieja</t>
  </si>
  <si>
    <t>ABL</t>
  </si>
  <si>
    <t>AYSA</t>
  </si>
  <si>
    <t>GCBA Inmobiliario/ABL - GCBA ABL Vieja</t>
  </si>
  <si>
    <t>AySA - AYSA Vieja</t>
  </si>
  <si>
    <t>Telefónica - TELEFONICA Vieja</t>
  </si>
  <si>
    <t>EDESUR - EDESUR Vieja</t>
  </si>
  <si>
    <t>Portero Electrico vieja 1/3</t>
  </si>
  <si>
    <t>Portero Electrico vieja 2/3</t>
  </si>
  <si>
    <t>Portero Electrico vieja 3/3</t>
  </si>
  <si>
    <t>EDESUR Vieja</t>
  </si>
  <si>
    <t>ITAU vieja</t>
  </si>
  <si>
    <t>AYSA Vieja</t>
  </si>
  <si>
    <t>METROGAS Vieja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</si>
</sst>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&quot;$&quot;#,##0.00"/>
    <numFmt numFmtId="165" formatCode="d/M/yyyy"/>
    <numFmt numFmtId="166" formatCode="d/m/yyyy"/>
    <numFmt numFmtId="167" formatCode="d/m/yy"/>
    <numFmt numFmtId="168" formatCode="d/MM/yyyy"/>
    <numFmt numFmtId="169" formatCode="_ &quot;$&quot;\ * #,##0.00_ ;_ &quot;$&quot;\ * \-#,##0.00_ ;_ &quot;$&quot;\ * &quot;-&quot;??_ ;_ @_ "/>
    <numFmt numFmtId="170" formatCode="[$$]#,##0.00"/>
  </numFmts>
  <fonts count="21">
    <font>
      <sz val="11.0"/>
      <color rgb="FF000000"/>
      <name val="Calibri"/>
    </font>
    <font>
      <name val="Arial"/>
    </font>
    <font>
      <sz val="22.0"/>
      <color rgb="FF000000"/>
      <name val="Arial"/>
    </font>
    <font/>
    <font>
      <sz val="11.0"/>
      <color rgb="FF000000"/>
      <name val="Arial"/>
    </font>
    <font>
      <sz val="17.0"/>
      <color rgb="FF000000"/>
      <name val="Calibri"/>
    </font>
    <font>
      <sz val="11.0"/>
      <name val="Arial"/>
    </font>
    <font>
      <u/>
      <sz val="11.0"/>
      <color rgb="FF000000"/>
      <name val="Calibri"/>
    </font>
    <font>
      <u/>
      <color rgb="FF000000"/>
      <name val="Inherit"/>
    </font>
    <font>
      <sz val="14.0"/>
    </font>
    <font>
      <sz val="14.0"/>
      <color rgb="FF000000"/>
      <name val="Calibri"/>
    </font>
    <font>
      <u/>
      <sz val="14.0"/>
      <color rgb="FF000000"/>
      <name val="Inherit"/>
    </font>
    <font>
      <u/>
      <sz val="14.0"/>
      <color rgb="FF000000"/>
      <name val="Verdana"/>
    </font>
    <font>
      <b/>
      <sz val="14.0"/>
      <color rgb="FF000000"/>
      <name val="Calibri"/>
    </font>
    <font>
      <sz val="14.0"/>
      <color rgb="FF000000"/>
      <name val="Verdana"/>
    </font>
    <font>
      <sz val="14.0"/>
      <color rgb="FF000000"/>
      <name val="Inherit"/>
    </font>
    <font>
      <b/>
      <sz val="14.0"/>
    </font>
    <font>
      <u/>
      <sz val="14.0"/>
      <color rgb="FF0000FF"/>
    </font>
    <font>
      <u/>
      <color rgb="FF0000FF"/>
    </font>
    <font>
      <u/>
      <color rgb="FF000000"/>
      <name val="Inherit"/>
    </font>
    <font>
      <u/>
      <sz val="8.0"/>
      <color rgb="FF000000"/>
      <name val="Verdana"/>
    </font>
  </fonts>
  <fills count="10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CCCCCC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1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0" numFmtId="164" xfId="0" applyAlignment="1" applyFont="1" applyNumberFormat="1">
      <alignment readingOrder="0" shrinkToFit="0" wrapText="0"/>
    </xf>
    <xf borderId="0" fillId="0" fontId="3" numFmtId="164" xfId="0" applyFont="1" applyNumberFormat="1"/>
    <xf borderId="0" fillId="0" fontId="4" numFmtId="165" xfId="0" applyAlignment="1" applyFont="1" applyNumberFormat="1">
      <alignment readingOrder="0" shrinkToFit="0" wrapText="0"/>
    </xf>
    <xf borderId="0" fillId="2" fontId="4" numFmtId="164" xfId="0" applyAlignment="1" applyFill="1" applyFont="1" applyNumberFormat="1">
      <alignment readingOrder="0" shrinkToFit="0" wrapText="0"/>
    </xf>
    <xf borderId="0" fillId="0" fontId="4" numFmtId="164" xfId="0" applyAlignment="1" applyFont="1" applyNumberFormat="1">
      <alignment readingOrder="0" shrinkToFit="0" wrapText="0"/>
    </xf>
    <xf borderId="0" fillId="0" fontId="0" numFmtId="164" xfId="0" applyAlignment="1" applyFont="1" applyNumberFormat="1">
      <alignment readingOrder="0" shrinkToFit="0" wrapText="0"/>
    </xf>
    <xf borderId="0" fillId="0" fontId="1" numFmtId="165" xfId="0" applyAlignment="1" applyFont="1" applyNumberFormat="1">
      <alignment readingOrder="0"/>
    </xf>
    <xf borderId="0" fillId="3" fontId="4" numFmtId="164" xfId="0" applyAlignment="1" applyFill="1" applyFont="1" applyNumberForma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0" fontId="3" numFmtId="4" xfId="0" applyFont="1" applyNumberFormat="1"/>
    <xf borderId="0" fillId="0" fontId="6" numFmtId="0" xfId="0" applyAlignment="1" applyFont="1">
      <alignment readingOrder="0" vertical="bottom"/>
    </xf>
    <xf borderId="0" fillId="0" fontId="6" numFmtId="164" xfId="0" applyAlignment="1" applyFont="1" applyNumberFormat="1">
      <alignment horizontal="right" readingOrder="0" vertical="bottom"/>
    </xf>
    <xf borderId="0" fillId="0" fontId="6" numFmtId="164" xfId="0" applyAlignment="1" applyFont="1" applyNumberFormat="1">
      <alignment horizontal="right" vertical="bottom"/>
    </xf>
    <xf borderId="0" fillId="0" fontId="1" numFmtId="166" xfId="0" applyAlignment="1" applyFont="1" applyNumberFormat="1">
      <alignment readingOrder="0"/>
    </xf>
    <xf borderId="0" fillId="4" fontId="4" numFmtId="164" xfId="0" applyAlignment="1" applyFill="1" applyFont="1" applyNumberFormat="1">
      <alignment readingOrder="0" shrinkToFit="0" wrapText="0"/>
    </xf>
    <xf borderId="0" fillId="5" fontId="4" numFmtId="165" xfId="0" applyAlignment="1" applyFill="1" applyFont="1" applyNumberFormat="1">
      <alignment readingOrder="0" shrinkToFit="0" wrapText="0"/>
    </xf>
    <xf borderId="0" fillId="5" fontId="1" numFmtId="0" xfId="0" applyAlignment="1" applyFont="1">
      <alignment readingOrder="0"/>
    </xf>
    <xf borderId="0" fillId="5" fontId="4" numFmtId="164" xfId="0" applyAlignment="1" applyFont="1" applyNumberFormat="1">
      <alignment readingOrder="0" shrinkToFit="0" wrapText="0"/>
    </xf>
    <xf borderId="0" fillId="5" fontId="4" numFmtId="167" xfId="0" applyAlignment="1" applyFont="1" applyNumberFormat="1">
      <alignment readingOrder="0" shrinkToFit="0" wrapText="0"/>
    </xf>
    <xf borderId="1" fillId="0" fontId="4" numFmtId="165" xfId="0" applyAlignment="1" applyBorder="1" applyFont="1" applyNumberFormat="1">
      <alignment readingOrder="0" shrinkToFit="0" wrapText="0"/>
    </xf>
    <xf borderId="1" fillId="0" fontId="3" numFmtId="0" xfId="0" applyBorder="1" applyFont="1"/>
    <xf borderId="1" fillId="0" fontId="3" numFmtId="164" xfId="0" applyAlignment="1" applyBorder="1" applyFont="1" applyNumberFormat="1">
      <alignment horizontal="right"/>
    </xf>
    <xf borderId="1" fillId="0" fontId="1" numFmtId="165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164" xfId="0" applyAlignment="1" applyBorder="1" applyFont="1" applyNumberFormat="1">
      <alignment readingOrder="0"/>
    </xf>
    <xf borderId="1" fillId="0" fontId="1" numFmtId="164" xfId="0" applyAlignment="1" applyBorder="1" applyFont="1" applyNumberFormat="1">
      <alignment horizontal="right" readingOrder="0"/>
    </xf>
    <xf borderId="1" fillId="6" fontId="3" numFmtId="164" xfId="0" applyAlignment="1" applyBorder="1" applyFill="1" applyFont="1" applyNumberFormat="1">
      <alignment horizontal="right"/>
    </xf>
    <xf borderId="1" fillId="7" fontId="3" numFmtId="164" xfId="0" applyAlignment="1" applyBorder="1" applyFill="1" applyFont="1" applyNumberFormat="1">
      <alignment horizontal="right"/>
    </xf>
    <xf borderId="1" fillId="0" fontId="6" numFmtId="165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vertical="bottom"/>
    </xf>
    <xf borderId="1" fillId="0" fontId="6" numFmtId="164" xfId="0" applyAlignment="1" applyBorder="1" applyFont="1" applyNumberFormat="1">
      <alignment horizontal="right" vertical="bottom"/>
    </xf>
    <xf borderId="1" fillId="0" fontId="6" numFmtId="164" xfId="0" applyAlignment="1" applyBorder="1" applyFont="1" applyNumberFormat="1">
      <alignment readingOrder="0" vertical="bottom"/>
    </xf>
    <xf borderId="0" fillId="0" fontId="3" numFmtId="164" xfId="0" applyAlignment="1" applyFont="1" applyNumberFormat="1">
      <alignment horizontal="right"/>
    </xf>
    <xf borderId="0" fillId="0" fontId="6" numFmtId="165" xfId="0" applyAlignment="1" applyFont="1" applyNumberFormat="1">
      <alignment horizontal="right" vertical="bottom"/>
    </xf>
    <xf borderId="0" fillId="0" fontId="6" numFmtId="0" xfId="0" applyAlignment="1" applyFont="1">
      <alignment vertical="bottom"/>
    </xf>
    <xf borderId="0" fillId="0" fontId="6" numFmtId="164" xfId="0" applyAlignment="1" applyFont="1" applyNumberFormat="1">
      <alignment readingOrder="0" vertical="bottom"/>
    </xf>
    <xf borderId="0" fillId="0" fontId="1" numFmtId="164" xfId="0" applyAlignment="1" applyFont="1" applyNumberFormat="1">
      <alignment horizontal="right" readingOrder="0"/>
    </xf>
    <xf borderId="0" fillId="5" fontId="3" numFmtId="164" xfId="0" applyAlignment="1" applyFont="1" applyNumberFormat="1">
      <alignment horizontal="right"/>
    </xf>
    <xf borderId="1" fillId="8" fontId="6" numFmtId="0" xfId="0" applyAlignment="1" applyBorder="1" applyFill="1" applyFont="1">
      <alignment vertical="bottom"/>
    </xf>
    <xf borderId="0" fillId="6" fontId="3" numFmtId="164" xfId="0" applyAlignment="1" applyFont="1" applyNumberFormat="1">
      <alignment horizontal="right"/>
    </xf>
    <xf borderId="1" fillId="0" fontId="6" numFmtId="0" xfId="0" applyAlignment="1" applyBorder="1" applyFont="1">
      <alignment readingOrder="0" vertical="bottom"/>
    </xf>
    <xf borderId="1" fillId="0" fontId="4" numFmtId="165" xfId="0" applyAlignment="1" applyBorder="1" applyFont="1" applyNumberFormat="1">
      <alignment horizontal="right" vertical="bottom"/>
    </xf>
    <xf borderId="1" fillId="0" fontId="4" numFmtId="164" xfId="0" applyAlignment="1" applyBorder="1" applyFont="1" applyNumberForma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0" fillId="0" fontId="6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0" numFmtId="168" xfId="0" applyAlignment="1" applyFont="1" applyNumberFormat="1">
      <alignment readingOrder="0" shrinkToFit="0" wrapText="0"/>
    </xf>
    <xf borderId="0" fillId="0" fontId="0" numFmtId="0" xfId="0" applyAlignment="1" applyFont="1">
      <alignment readingOrder="0" shrinkToFit="0" wrapText="0"/>
    </xf>
    <xf borderId="0" fillId="0" fontId="0" numFmtId="169" xfId="0" applyAlignment="1" applyFont="1" applyNumberFormat="1">
      <alignment readingOrder="0" shrinkToFit="0" wrapText="0"/>
    </xf>
    <xf borderId="0" fillId="0" fontId="7" numFmtId="0" xfId="0" applyAlignment="1" applyFont="1">
      <alignment readingOrder="0" shrinkToFit="0" wrapText="0"/>
    </xf>
    <xf borderId="0" fillId="0" fontId="3" numFmtId="14" xfId="0" applyAlignment="1" applyFont="1" applyNumberFormat="1">
      <alignment readingOrder="0"/>
    </xf>
    <xf borderId="2" fillId="9" fontId="8" numFmtId="0" xfId="0" applyAlignment="1" applyBorder="1" applyFill="1" applyFont="1">
      <alignment readingOrder="0"/>
    </xf>
    <xf borderId="0" fillId="0" fontId="9" numFmtId="1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10" numFmtId="169" xfId="0" applyAlignment="1" applyFont="1" applyNumberFormat="1">
      <alignment readingOrder="0" shrinkToFit="0" wrapText="0"/>
    </xf>
    <xf borderId="2" fillId="9" fontId="11" numFmtId="0" xfId="0" applyAlignment="1" applyBorder="1" applyFont="1">
      <alignment readingOrder="0"/>
    </xf>
    <xf borderId="0" fillId="9" fontId="12" numFmtId="0" xfId="0" applyAlignment="1" applyFont="1">
      <alignment readingOrder="0"/>
    </xf>
    <xf borderId="3" fillId="0" fontId="13" numFmtId="169" xfId="0" applyAlignment="1" applyBorder="1" applyFont="1" applyNumberFormat="1">
      <alignment readingOrder="0" shrinkToFit="0" wrapText="0"/>
    </xf>
    <xf borderId="0" fillId="9" fontId="14" numFmtId="0" xfId="0" applyAlignment="1" applyFont="1">
      <alignment horizontal="left" readingOrder="0"/>
    </xf>
    <xf borderId="2" fillId="9" fontId="15" numFmtId="0" xfId="0" applyAlignment="1" applyBorder="1" applyFont="1">
      <alignment readingOrder="0"/>
    </xf>
    <xf borderId="0" fillId="0" fontId="9" numFmtId="0" xfId="0" applyFont="1"/>
    <xf borderId="0" fillId="9" fontId="15" numFmtId="0" xfId="0" applyAlignment="1" applyFont="1">
      <alignment readingOrder="0"/>
    </xf>
    <xf borderId="3" fillId="0" fontId="16" numFmtId="169" xfId="0" applyBorder="1" applyFont="1" applyNumberFormat="1"/>
    <xf borderId="0" fillId="0" fontId="9" numFmtId="170" xfId="0" applyAlignment="1" applyFont="1" applyNumberFormat="1">
      <alignment readingOrder="0"/>
    </xf>
    <xf borderId="3" fillId="0" fontId="16" numFmtId="170" xfId="0" applyBorder="1" applyFont="1" applyNumberFormat="1"/>
    <xf borderId="0" fillId="0" fontId="10" numFmtId="168" xfId="0" applyAlignment="1" applyFont="1" applyNumberFormat="1">
      <alignment readingOrder="0" shrinkToFit="0" wrapText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3" numFmtId="170" xfId="0" applyAlignment="1" applyFont="1" applyNumberFormat="1">
      <alignment readingOrder="0" shrinkToFit="0" vertical="bottom" wrapText="0"/>
    </xf>
    <xf borderId="4" fillId="9" fontId="19" numFmtId="0" xfId="0" applyAlignment="1" applyBorder="1" applyFont="1">
      <alignment readingOrder="0"/>
    </xf>
    <xf borderId="0" fillId="9" fontId="2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paysrv2.pagomiscuentas.com/pmctas/login.do?dispatch=executeLogin" TargetMode="External"/><Relationship Id="rId20" Type="http://schemas.openxmlformats.org/officeDocument/2006/relationships/hyperlink" Target="https://paysrv2.pagomiscuentas.com/pmctas/main.do" TargetMode="External"/><Relationship Id="rId42" Type="http://schemas.openxmlformats.org/officeDocument/2006/relationships/hyperlink" Target="https://paysrv2.pagomiscuentas.com/pmctas/pagoFactura.do" TargetMode="External"/><Relationship Id="rId41" Type="http://schemas.openxmlformats.org/officeDocument/2006/relationships/hyperlink" Target="https://paysrv2.pagomiscuentas.com/pmctas/login.do?dispatch=executeLogin" TargetMode="External"/><Relationship Id="rId22" Type="http://schemas.openxmlformats.org/officeDocument/2006/relationships/hyperlink" Target="https://paysrv2.pagomiscuentas.com/pmctas/login.do?dispatch=executeLogin" TargetMode="External"/><Relationship Id="rId21" Type="http://schemas.openxmlformats.org/officeDocument/2006/relationships/hyperlink" Target="https://paysrv2.pagomiscuentas.com/pmctas/login.do?dispatch=executeLogin" TargetMode="External"/><Relationship Id="rId43" Type="http://schemas.openxmlformats.org/officeDocument/2006/relationships/drawing" Target="../drawings/drawing5.xml"/><Relationship Id="rId24" Type="http://schemas.openxmlformats.org/officeDocument/2006/relationships/hyperlink" Target="https://paysrv2.pagomiscuentas.com/pmctas/login.do?dispatch=executeLogin" TargetMode="External"/><Relationship Id="rId23" Type="http://schemas.openxmlformats.org/officeDocument/2006/relationships/hyperlink" Target="https://paysrv2.pagomiscuentas.com/pmctas/main.do" TargetMode="External"/><Relationship Id="rId1" Type="http://schemas.openxmlformats.org/officeDocument/2006/relationships/hyperlink" Target="https://paysrv2.pagomiscuentas.com/pmctas/login.do?dispatch=executeLogin" TargetMode="External"/><Relationship Id="rId2" Type="http://schemas.openxmlformats.org/officeDocument/2006/relationships/hyperlink" Target="https://paysrv2.pagomiscuentas.com/pmctas/login.do?dispatch=executeLogin" TargetMode="External"/><Relationship Id="rId3" Type="http://schemas.openxmlformats.org/officeDocument/2006/relationships/hyperlink" Target="https://paysrv2.pagomiscuentas.com/pmctas/login.do?dispatch=executeLogin" TargetMode="External"/><Relationship Id="rId4" Type="http://schemas.openxmlformats.org/officeDocument/2006/relationships/hyperlink" Target="https://paysrv2.pagomiscuentas.com/pmctas/pagoFactura.do" TargetMode="External"/><Relationship Id="rId9" Type="http://schemas.openxmlformats.org/officeDocument/2006/relationships/hyperlink" Target="https://paysrv2.pagomiscuentas.com/pmctas/main.do" TargetMode="External"/><Relationship Id="rId26" Type="http://schemas.openxmlformats.org/officeDocument/2006/relationships/hyperlink" Target="https://paysrv2.pagomiscuentas.com/pmctas/main.do" TargetMode="External"/><Relationship Id="rId25" Type="http://schemas.openxmlformats.org/officeDocument/2006/relationships/hyperlink" Target="https://paysrv2.pagomiscuentas.com/pmctas/pagoFactura.do" TargetMode="External"/><Relationship Id="rId28" Type="http://schemas.openxmlformats.org/officeDocument/2006/relationships/hyperlink" Target="https://paysrv2.pagomiscuentas.com/pmctas/login.do?dispatch=executeLogin" TargetMode="External"/><Relationship Id="rId27" Type="http://schemas.openxmlformats.org/officeDocument/2006/relationships/hyperlink" Target="https://paysrv2.pagomiscuentas.com/pmctas/main.do" TargetMode="External"/><Relationship Id="rId5" Type="http://schemas.openxmlformats.org/officeDocument/2006/relationships/hyperlink" Target="https://paysrv2.pagomiscuentas.com/pmctas/main.do" TargetMode="External"/><Relationship Id="rId6" Type="http://schemas.openxmlformats.org/officeDocument/2006/relationships/hyperlink" Target="https://paysrv2.pagomiscuentas.com/pmctas/main.do" TargetMode="External"/><Relationship Id="rId29" Type="http://schemas.openxmlformats.org/officeDocument/2006/relationships/hyperlink" Target="https://paysrv2.pagomiscuentas.com/pmctas/login.do?dispatch=executeLogin" TargetMode="External"/><Relationship Id="rId7" Type="http://schemas.openxmlformats.org/officeDocument/2006/relationships/hyperlink" Target="https://paysrv2.pagomiscuentas.com/pmctas/login.do?dispatch=executeLogin" TargetMode="External"/><Relationship Id="rId8" Type="http://schemas.openxmlformats.org/officeDocument/2006/relationships/hyperlink" Target="https://paysrv2.pagomiscuentas.com/pmctas/main.do" TargetMode="External"/><Relationship Id="rId31" Type="http://schemas.openxmlformats.org/officeDocument/2006/relationships/hyperlink" Target="https://paysrv2.pagomiscuentas.com/pmctas/login.do?dispatch=executeLogin" TargetMode="External"/><Relationship Id="rId30" Type="http://schemas.openxmlformats.org/officeDocument/2006/relationships/hyperlink" Target="https://paysrv2.pagomiscuentas.com/pmctas/login.do?dispatch=executeLogin" TargetMode="External"/><Relationship Id="rId11" Type="http://schemas.openxmlformats.org/officeDocument/2006/relationships/hyperlink" Target="https://paysrv2.pagomiscuentas.com/pmctas/login.do?dispatch=executeLogin" TargetMode="External"/><Relationship Id="rId33" Type="http://schemas.openxmlformats.org/officeDocument/2006/relationships/hyperlink" Target="https://paysrv2.pagomiscuentas.com/pmctas/main.do" TargetMode="External"/><Relationship Id="rId10" Type="http://schemas.openxmlformats.org/officeDocument/2006/relationships/hyperlink" Target="https://paysrv2.pagomiscuentas.com/pmctas/login.do?dispatch=executeLogin" TargetMode="External"/><Relationship Id="rId32" Type="http://schemas.openxmlformats.org/officeDocument/2006/relationships/hyperlink" Target="https://paysrv2.pagomiscuentas.com/pmctas/login.do?dispatch=executeLogin" TargetMode="External"/><Relationship Id="rId13" Type="http://schemas.openxmlformats.org/officeDocument/2006/relationships/hyperlink" Target="https://paysrv2.pagomiscuentas.com/pmctas/login.do?dispatch=executeLogin" TargetMode="External"/><Relationship Id="rId35" Type="http://schemas.openxmlformats.org/officeDocument/2006/relationships/hyperlink" Target="https://paysrv2.pagomiscuentas.com/pmctas/main.do" TargetMode="External"/><Relationship Id="rId12" Type="http://schemas.openxmlformats.org/officeDocument/2006/relationships/hyperlink" Target="https://paysrv2.pagomiscuentas.com/pmctas/main.do" TargetMode="External"/><Relationship Id="rId34" Type="http://schemas.openxmlformats.org/officeDocument/2006/relationships/hyperlink" Target="https://paysrv2.pagomiscuentas.com/pmctas/main.do" TargetMode="External"/><Relationship Id="rId15" Type="http://schemas.openxmlformats.org/officeDocument/2006/relationships/hyperlink" Target="https://paysrv2.pagomiscuentas.com/pmctas/pagoFactura.do" TargetMode="External"/><Relationship Id="rId37" Type="http://schemas.openxmlformats.org/officeDocument/2006/relationships/hyperlink" Target="https://paysrv2.pagomiscuentas.com/pmctas/pagoFactura.do" TargetMode="External"/><Relationship Id="rId14" Type="http://schemas.openxmlformats.org/officeDocument/2006/relationships/hyperlink" Target="https://paysrv2.pagomiscuentas.com/pmctas/main.do" TargetMode="External"/><Relationship Id="rId36" Type="http://schemas.openxmlformats.org/officeDocument/2006/relationships/hyperlink" Target="https://paysrv2.pagomiscuentas.com/pmctas/pagoFactura.do" TargetMode="External"/><Relationship Id="rId17" Type="http://schemas.openxmlformats.org/officeDocument/2006/relationships/hyperlink" Target="https://paysrv2.pagomiscuentas.com/pmctas/main.do" TargetMode="External"/><Relationship Id="rId39" Type="http://schemas.openxmlformats.org/officeDocument/2006/relationships/hyperlink" Target="https://paysrv2.pagomiscuentas.com/pmctas/pagoFactura.do" TargetMode="External"/><Relationship Id="rId16" Type="http://schemas.openxmlformats.org/officeDocument/2006/relationships/hyperlink" Target="https://paysrv2.pagomiscuentas.com/pmctas/main.do" TargetMode="External"/><Relationship Id="rId38" Type="http://schemas.openxmlformats.org/officeDocument/2006/relationships/hyperlink" Target="https://paysrv2.pagomiscuentas.com/pmctas/pagoFactura.do" TargetMode="External"/><Relationship Id="rId19" Type="http://schemas.openxmlformats.org/officeDocument/2006/relationships/hyperlink" Target="https://paysrv2.pagomiscuentas.com/pmctas/login.do?dispatch=executeLogin" TargetMode="External"/><Relationship Id="rId18" Type="http://schemas.openxmlformats.org/officeDocument/2006/relationships/hyperlink" Target="https://paysrv2.pagomiscuentas.com/pmctas/main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7.29" defaultRowHeight="15.0"/>
  <cols>
    <col customWidth="1" min="1" max="1" width="16.57"/>
    <col customWidth="1" min="2" max="2" width="57.0"/>
    <col customWidth="1" min="3" max="3" width="15.71"/>
    <col customWidth="1" min="4" max="4" width="14.43"/>
    <col customWidth="1" min="5" max="5" width="16.14"/>
    <col customWidth="1" min="6" max="6" width="13.57"/>
    <col customWidth="1" min="7" max="7" width="18.86"/>
    <col customWidth="1" min="8" max="8" width="32.14"/>
    <col customWidth="1" min="9" max="23" width="10.71"/>
  </cols>
  <sheetData>
    <row r="1" ht="28.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3" t="s">
        <v>5</v>
      </c>
      <c r="G1" s="6"/>
    </row>
    <row r="2">
      <c r="A2" s="7">
        <v>46024.0</v>
      </c>
      <c r="B2" s="1" t="s">
        <v>6</v>
      </c>
      <c r="C2" s="8">
        <f>D2-658447.12</f>
        <v>9700.36</v>
      </c>
      <c r="D2" s="9">
        <v>668147.48</v>
      </c>
      <c r="E2" s="9">
        <v>1747761.51</v>
      </c>
      <c r="F2" s="6"/>
      <c r="G2" s="6"/>
      <c r="H2" s="1"/>
    </row>
    <row r="3">
      <c r="A3" s="7">
        <v>45663.0</v>
      </c>
      <c r="B3" s="1" t="s">
        <v>7</v>
      </c>
      <c r="C3" s="9">
        <v>1200000.0</v>
      </c>
      <c r="D3" s="9"/>
      <c r="E3" s="10">
        <f t="shared" ref="E3:E96" si="1">E2+D3-C3</f>
        <v>547761.51</v>
      </c>
      <c r="F3" s="6"/>
      <c r="G3" s="6"/>
      <c r="H3" s="1"/>
    </row>
    <row r="4">
      <c r="A4" s="7">
        <v>45659.0</v>
      </c>
      <c r="B4" s="1" t="s">
        <v>8</v>
      </c>
      <c r="C4" s="9">
        <v>52380.24</v>
      </c>
      <c r="D4" s="9"/>
      <c r="E4" s="10">
        <f t="shared" si="1"/>
        <v>495381.27</v>
      </c>
      <c r="F4" s="6"/>
      <c r="G4" s="6"/>
      <c r="H4" s="1"/>
    </row>
    <row r="5">
      <c r="A5" s="7">
        <v>46030.0</v>
      </c>
      <c r="B5" s="1" t="s">
        <v>9</v>
      </c>
      <c r="C5" s="9"/>
      <c r="D5" s="9">
        <v>110000.0</v>
      </c>
      <c r="E5" s="10">
        <f t="shared" si="1"/>
        <v>605381.27</v>
      </c>
      <c r="F5" s="6"/>
      <c r="G5" s="6"/>
      <c r="H5" s="1"/>
    </row>
    <row r="6">
      <c r="A6" s="7">
        <v>46031.0</v>
      </c>
      <c r="B6" s="1" t="s">
        <v>10</v>
      </c>
      <c r="C6" s="9">
        <v>599733.16</v>
      </c>
      <c r="D6" s="9"/>
      <c r="E6" s="10">
        <f t="shared" si="1"/>
        <v>5648.11</v>
      </c>
      <c r="F6" s="6"/>
      <c r="G6" s="6"/>
      <c r="H6" s="1"/>
    </row>
    <row r="7">
      <c r="A7" s="7">
        <v>46031.0</v>
      </c>
      <c r="B7" s="1" t="s">
        <v>11</v>
      </c>
      <c r="C7" s="9"/>
      <c r="D7" s="9">
        <v>10000.0</v>
      </c>
      <c r="E7" s="10">
        <f t="shared" si="1"/>
        <v>15648.11</v>
      </c>
      <c r="F7" s="6"/>
      <c r="G7" s="6"/>
      <c r="H7" s="1"/>
    </row>
    <row r="8">
      <c r="A8" s="7">
        <v>46034.0</v>
      </c>
      <c r="B8" s="1" t="s">
        <v>12</v>
      </c>
      <c r="C8" s="9"/>
      <c r="D8" s="9">
        <v>15011.23</v>
      </c>
      <c r="E8" s="10">
        <f t="shared" si="1"/>
        <v>30659.34</v>
      </c>
      <c r="F8" s="6"/>
      <c r="G8" s="6"/>
      <c r="H8" s="1"/>
    </row>
    <row r="9">
      <c r="A9" s="7">
        <v>46036.0</v>
      </c>
      <c r="B9" s="1" t="s">
        <v>13</v>
      </c>
      <c r="C9" s="8">
        <f>D9-2836153.08</f>
        <v>47666.44</v>
      </c>
      <c r="D9" s="9">
        <v>2883819.52</v>
      </c>
      <c r="E9" s="10">
        <f t="shared" si="1"/>
        <v>2866812.42</v>
      </c>
      <c r="F9" s="6"/>
      <c r="G9" s="6"/>
      <c r="H9" s="1"/>
    </row>
    <row r="10">
      <c r="A10" s="7">
        <v>46036.0</v>
      </c>
      <c r="B10" s="1" t="s">
        <v>14</v>
      </c>
      <c r="C10" s="8">
        <f>D10-2886834.22</f>
        <v>48518.22</v>
      </c>
      <c r="D10" s="9">
        <v>2935352.44</v>
      </c>
      <c r="E10" s="10">
        <f t="shared" si="1"/>
        <v>5753646.64</v>
      </c>
      <c r="F10" s="6"/>
      <c r="G10" s="6"/>
      <c r="H10" s="1"/>
    </row>
    <row r="11">
      <c r="A11" s="7">
        <v>46036.0</v>
      </c>
      <c r="B11" s="1" t="s">
        <v>15</v>
      </c>
      <c r="C11" s="9">
        <v>1200000.0</v>
      </c>
      <c r="D11" s="9"/>
      <c r="E11" s="10">
        <f t="shared" si="1"/>
        <v>4553646.64</v>
      </c>
      <c r="F11" s="6"/>
      <c r="G11" s="6"/>
      <c r="H11" s="1"/>
    </row>
    <row r="12">
      <c r="A12" s="7">
        <v>46036.0</v>
      </c>
      <c r="B12" s="1" t="s">
        <v>16</v>
      </c>
      <c r="C12" s="9">
        <v>3077580.75</v>
      </c>
      <c r="D12" s="9"/>
      <c r="E12" s="10">
        <f t="shared" si="1"/>
        <v>1476065.89</v>
      </c>
      <c r="F12" s="6"/>
      <c r="G12" s="6"/>
      <c r="H12" s="1"/>
    </row>
    <row r="13">
      <c r="A13" s="7">
        <v>46037.0</v>
      </c>
      <c r="B13" s="1" t="s">
        <v>17</v>
      </c>
      <c r="C13" s="8">
        <f>D13-32810.36</f>
        <v>551.43</v>
      </c>
      <c r="D13" s="9">
        <v>33361.79</v>
      </c>
      <c r="E13" s="10">
        <f t="shared" si="1"/>
        <v>1508876.25</v>
      </c>
      <c r="F13" s="6"/>
      <c r="G13" s="6"/>
      <c r="H13" s="1"/>
    </row>
    <row r="14">
      <c r="A14" s="7">
        <v>46037.0</v>
      </c>
      <c r="B14" s="1" t="s">
        <v>18</v>
      </c>
      <c r="C14" s="9">
        <v>438745.73</v>
      </c>
      <c r="D14" s="9"/>
      <c r="E14" s="10">
        <f t="shared" si="1"/>
        <v>1070130.52</v>
      </c>
      <c r="F14" s="6"/>
      <c r="G14" s="6"/>
      <c r="H14" s="1"/>
    </row>
    <row r="15">
      <c r="A15" s="7">
        <v>46038.0</v>
      </c>
      <c r="B15" s="1" t="s">
        <v>19</v>
      </c>
      <c r="C15" s="9">
        <v>11384.7</v>
      </c>
      <c r="D15" s="9"/>
      <c r="E15" s="10">
        <f t="shared" si="1"/>
        <v>1058745.82</v>
      </c>
      <c r="F15" s="6"/>
      <c r="G15" s="6"/>
      <c r="H15" s="1">
        <v>8577.25</v>
      </c>
    </row>
    <row r="16">
      <c r="A16" s="7">
        <v>46037.0</v>
      </c>
      <c r="B16" s="1" t="s">
        <v>9</v>
      </c>
      <c r="C16" s="9"/>
      <c r="D16" s="9">
        <v>500000.0</v>
      </c>
      <c r="E16" s="10">
        <f t="shared" si="1"/>
        <v>1558745.82</v>
      </c>
      <c r="F16" s="6"/>
      <c r="G16" s="6"/>
      <c r="H16" s="1"/>
    </row>
    <row r="17">
      <c r="A17" s="7">
        <v>46041.0</v>
      </c>
      <c r="B17" s="1" t="s">
        <v>20</v>
      </c>
      <c r="C17" s="9">
        <v>25314.0</v>
      </c>
      <c r="D17" s="9"/>
      <c r="E17" s="10">
        <f t="shared" si="1"/>
        <v>1533431.82</v>
      </c>
      <c r="F17" s="6"/>
      <c r="G17" s="6"/>
      <c r="H17" s="1"/>
    </row>
    <row r="18">
      <c r="A18" s="7">
        <v>46041.0</v>
      </c>
      <c r="B18" s="1"/>
      <c r="C18" s="9">
        <v>74000.0</v>
      </c>
      <c r="D18" s="9"/>
      <c r="E18" s="10">
        <f t="shared" si="1"/>
        <v>1459431.82</v>
      </c>
      <c r="F18" s="6"/>
      <c r="G18" s="6"/>
      <c r="H18" s="1"/>
    </row>
    <row r="19">
      <c r="A19" s="7">
        <v>46043.0</v>
      </c>
      <c r="B19" s="1" t="s">
        <v>21</v>
      </c>
      <c r="C19" s="8">
        <f>D19-2359567.14</f>
        <v>39656.6</v>
      </c>
      <c r="D19" s="9">
        <v>2399223.74</v>
      </c>
      <c r="E19" s="10">
        <f t="shared" si="1"/>
        <v>3818998.96</v>
      </c>
      <c r="F19" s="6"/>
      <c r="G19" s="6"/>
      <c r="H19" s="1"/>
    </row>
    <row r="20">
      <c r="A20" s="7">
        <v>46043.0</v>
      </c>
      <c r="B20" s="1" t="s">
        <v>22</v>
      </c>
      <c r="C20" s="9">
        <v>1725692.0</v>
      </c>
      <c r="D20" s="9"/>
      <c r="E20" s="10">
        <f t="shared" si="1"/>
        <v>2093306.96</v>
      </c>
      <c r="F20" s="6"/>
      <c r="G20" s="6"/>
      <c r="H20" s="1"/>
    </row>
    <row r="21">
      <c r="A21" s="7">
        <v>46043.0</v>
      </c>
      <c r="B21" s="9" t="s">
        <v>7</v>
      </c>
      <c r="C21" s="9">
        <v>1700000.0</v>
      </c>
      <c r="D21" s="9"/>
      <c r="E21" s="10">
        <f t="shared" si="1"/>
        <v>393306.96</v>
      </c>
      <c r="F21" s="6"/>
      <c r="G21" s="6"/>
      <c r="H21" s="1"/>
    </row>
    <row r="22">
      <c r="A22" s="7">
        <v>46044.0</v>
      </c>
      <c r="B22" s="1" t="s">
        <v>23</v>
      </c>
      <c r="C22" s="9">
        <v>300000.0</v>
      </c>
      <c r="D22" s="9"/>
      <c r="E22" s="10">
        <f t="shared" si="1"/>
        <v>93306.96</v>
      </c>
      <c r="F22" s="6"/>
      <c r="G22" s="6"/>
      <c r="H22" s="1"/>
    </row>
    <row r="23">
      <c r="A23" s="7">
        <v>46048.0</v>
      </c>
      <c r="B23" s="1" t="s">
        <v>24</v>
      </c>
      <c r="C23" s="8">
        <f>D23-3794231.91</f>
        <v>63768.09</v>
      </c>
      <c r="D23" s="9">
        <v>3858000.0</v>
      </c>
      <c r="E23" s="10">
        <f t="shared" si="1"/>
        <v>3887538.87</v>
      </c>
      <c r="F23" s="6"/>
      <c r="G23" s="6"/>
      <c r="H23" s="1"/>
    </row>
    <row r="24">
      <c r="A24" s="7">
        <v>46048.0</v>
      </c>
      <c r="B24" s="1" t="s">
        <v>25</v>
      </c>
      <c r="C24" s="9">
        <v>2946168.79</v>
      </c>
      <c r="D24" s="9"/>
      <c r="E24" s="10">
        <f t="shared" si="1"/>
        <v>941370.08</v>
      </c>
      <c r="F24" s="6"/>
      <c r="G24" s="6"/>
      <c r="H24" s="1"/>
    </row>
    <row r="25">
      <c r="A25" s="11">
        <v>46048.0</v>
      </c>
      <c r="B25" s="1" t="s">
        <v>23</v>
      </c>
      <c r="C25" s="9">
        <v>300000.0</v>
      </c>
      <c r="D25" s="9"/>
      <c r="E25" s="10">
        <f t="shared" si="1"/>
        <v>641370.08</v>
      </c>
      <c r="F25" s="6"/>
      <c r="G25" s="6"/>
      <c r="H25" s="1"/>
    </row>
    <row r="26">
      <c r="A26" s="11">
        <v>46048.0</v>
      </c>
      <c r="B26" s="1" t="s">
        <v>7</v>
      </c>
      <c r="C26" s="9">
        <v>600000.0</v>
      </c>
      <c r="D26" s="9"/>
      <c r="E26" s="10">
        <f t="shared" si="1"/>
        <v>41370.08</v>
      </c>
      <c r="F26" s="6"/>
      <c r="G26" s="6"/>
      <c r="H26" s="1"/>
    </row>
    <row r="27">
      <c r="A27" s="7">
        <v>46055.0</v>
      </c>
      <c r="B27" s="1" t="s">
        <v>6</v>
      </c>
      <c r="C27" s="8">
        <f>D27-654007.23</f>
        <v>9625.74</v>
      </c>
      <c r="D27" s="9">
        <v>663632.97</v>
      </c>
      <c r="E27" s="10">
        <f t="shared" si="1"/>
        <v>695377.31</v>
      </c>
      <c r="F27" s="6"/>
      <c r="G27" s="6"/>
      <c r="H27" s="1"/>
    </row>
    <row r="28">
      <c r="A28" s="7">
        <v>46057.0</v>
      </c>
      <c r="B28" s="1" t="s">
        <v>8</v>
      </c>
      <c r="C28" s="9">
        <v>53899.27</v>
      </c>
      <c r="D28" s="9"/>
      <c r="E28" s="10">
        <f t="shared" si="1"/>
        <v>641478.04</v>
      </c>
      <c r="F28" s="6"/>
      <c r="G28" s="6"/>
      <c r="H28" s="1"/>
    </row>
    <row r="29">
      <c r="A29" s="7">
        <v>46057.0</v>
      </c>
      <c r="B29" s="1" t="s">
        <v>26</v>
      </c>
      <c r="C29" s="9">
        <v>16350.18</v>
      </c>
      <c r="D29" s="9"/>
      <c r="E29" s="10">
        <f t="shared" si="1"/>
        <v>625127.86</v>
      </c>
      <c r="F29" s="6"/>
      <c r="G29" s="6"/>
      <c r="H29" s="1"/>
    </row>
    <row r="30">
      <c r="A30" s="7">
        <v>46057.0</v>
      </c>
      <c r="B30" s="1" t="s">
        <v>23</v>
      </c>
      <c r="C30" s="9">
        <v>400000.0</v>
      </c>
      <c r="D30" s="9"/>
      <c r="E30" s="10">
        <f t="shared" si="1"/>
        <v>225127.86</v>
      </c>
      <c r="F30" s="6"/>
      <c r="G30" s="6"/>
      <c r="H30" s="1"/>
    </row>
    <row r="31">
      <c r="A31" s="7">
        <v>46058.0</v>
      </c>
      <c r="B31" s="1" t="s">
        <v>9</v>
      </c>
      <c r="C31" s="9"/>
      <c r="D31" s="9">
        <v>900000.0</v>
      </c>
      <c r="E31" s="10">
        <f t="shared" si="1"/>
        <v>1125127.86</v>
      </c>
      <c r="F31" s="6"/>
      <c r="G31" s="6"/>
      <c r="H31" s="1"/>
    </row>
    <row r="32">
      <c r="A32" s="7">
        <v>46058.0</v>
      </c>
      <c r="B32" s="1" t="s">
        <v>27</v>
      </c>
      <c r="C32" s="9">
        <v>892955.01</v>
      </c>
      <c r="D32" s="9"/>
      <c r="E32" s="10">
        <f t="shared" si="1"/>
        <v>232172.85</v>
      </c>
      <c r="F32" s="3">
        <v>611.64</v>
      </c>
      <c r="G32" s="6"/>
      <c r="H32" s="1"/>
    </row>
    <row r="33">
      <c r="A33" s="7">
        <v>46059.0</v>
      </c>
      <c r="B33" s="1" t="s">
        <v>28</v>
      </c>
      <c r="C33" s="9">
        <v>22500.0</v>
      </c>
      <c r="D33" s="9"/>
      <c r="E33" s="10">
        <f t="shared" si="1"/>
        <v>209672.85</v>
      </c>
      <c r="F33" s="6"/>
      <c r="G33" s="6"/>
      <c r="H33" s="1"/>
    </row>
    <row r="34">
      <c r="A34" s="7">
        <v>46059.0</v>
      </c>
      <c r="B34" s="1" t="s">
        <v>10</v>
      </c>
      <c r="C34" s="9">
        <v>212176.38</v>
      </c>
      <c r="D34" s="9"/>
      <c r="E34" s="10">
        <f t="shared" si="1"/>
        <v>-2503.53</v>
      </c>
      <c r="F34" s="6"/>
      <c r="G34" s="6"/>
      <c r="H34" s="1"/>
    </row>
    <row r="35">
      <c r="A35" s="7">
        <v>46062.0</v>
      </c>
      <c r="B35" s="1" t="s">
        <v>29</v>
      </c>
      <c r="C35" s="8">
        <f>D35-3455017.64</f>
        <v>58067.52</v>
      </c>
      <c r="D35" s="9">
        <f>1180756.46+2332328.7</f>
        <v>3513085.16</v>
      </c>
      <c r="E35" s="10">
        <f t="shared" si="1"/>
        <v>3452514.11</v>
      </c>
      <c r="F35" s="6"/>
      <c r="G35" s="6"/>
      <c r="H35" s="1"/>
    </row>
    <row r="36">
      <c r="A36" s="7">
        <v>46062.0</v>
      </c>
      <c r="B36" s="1" t="s">
        <v>30</v>
      </c>
      <c r="C36" s="9">
        <v>1567492.38</v>
      </c>
      <c r="D36" s="9"/>
      <c r="E36" s="10">
        <f t="shared" si="1"/>
        <v>1885021.73</v>
      </c>
      <c r="F36" s="6"/>
      <c r="G36" s="6"/>
      <c r="H36" s="1"/>
    </row>
    <row r="37">
      <c r="A37" s="7">
        <v>46062.0</v>
      </c>
      <c r="B37" s="1" t="s">
        <v>31</v>
      </c>
      <c r="C37" s="9">
        <v>1076549.95</v>
      </c>
      <c r="D37" s="9"/>
      <c r="E37" s="10">
        <f t="shared" si="1"/>
        <v>808471.78</v>
      </c>
      <c r="F37" s="6"/>
      <c r="G37" s="6"/>
      <c r="H37" s="1"/>
    </row>
    <row r="38">
      <c r="A38" s="7">
        <v>46063.0</v>
      </c>
      <c r="B38" s="1" t="s">
        <v>28</v>
      </c>
      <c r="C38" s="9">
        <v>86375.44</v>
      </c>
      <c r="D38" s="9"/>
      <c r="E38" s="10">
        <f t="shared" si="1"/>
        <v>722096.34</v>
      </c>
      <c r="F38" s="6"/>
      <c r="G38" s="6"/>
      <c r="H38" s="1"/>
    </row>
    <row r="39">
      <c r="A39" s="7">
        <v>46071.0</v>
      </c>
      <c r="B39" s="1" t="s">
        <v>32</v>
      </c>
      <c r="C39" s="12">
        <v>-2503.53</v>
      </c>
      <c r="D39" s="9">
        <v>4200.0</v>
      </c>
      <c r="E39" s="10">
        <f t="shared" si="1"/>
        <v>728799.87</v>
      </c>
      <c r="F39" s="6"/>
      <c r="G39" s="6"/>
      <c r="H39" s="1"/>
    </row>
    <row r="40">
      <c r="A40" s="7">
        <v>46069.0</v>
      </c>
      <c r="B40" s="1" t="s">
        <v>33</v>
      </c>
      <c r="C40" s="9">
        <v>11384.7</v>
      </c>
      <c r="D40" s="9"/>
      <c r="E40" s="10">
        <f t="shared" si="1"/>
        <v>717415.17</v>
      </c>
      <c r="F40" s="6"/>
      <c r="G40" s="6"/>
      <c r="H40" s="1"/>
    </row>
    <row r="41">
      <c r="A41" s="7">
        <v>46073.0</v>
      </c>
      <c r="B41" s="1" t="s">
        <v>23</v>
      </c>
      <c r="C41" s="9">
        <v>600000.0</v>
      </c>
      <c r="D41" s="9"/>
      <c r="E41" s="10">
        <f t="shared" si="1"/>
        <v>117415.17</v>
      </c>
      <c r="F41" s="6"/>
      <c r="G41" s="6"/>
      <c r="H41" s="1"/>
    </row>
    <row r="42">
      <c r="A42" s="7">
        <v>46076.0</v>
      </c>
      <c r="B42" s="1" t="s">
        <v>34</v>
      </c>
      <c r="C42" s="9">
        <v>31510.95</v>
      </c>
      <c r="D42" s="9"/>
      <c r="E42" s="10">
        <f t="shared" si="1"/>
        <v>85904.22</v>
      </c>
      <c r="F42" s="6"/>
      <c r="G42" s="6"/>
      <c r="H42" s="1"/>
    </row>
    <row r="43">
      <c r="A43" s="7">
        <v>46076.0</v>
      </c>
      <c r="B43" s="1" t="s">
        <v>35</v>
      </c>
      <c r="C43" s="9"/>
      <c r="D43" s="9">
        <v>6315.56</v>
      </c>
      <c r="E43" s="10">
        <f t="shared" si="1"/>
        <v>92219.78</v>
      </c>
      <c r="F43" s="6"/>
      <c r="G43" s="6"/>
      <c r="H43" s="1"/>
    </row>
    <row r="44">
      <c r="A44" s="7">
        <v>46076.0</v>
      </c>
      <c r="B44" s="1" t="s">
        <v>23</v>
      </c>
      <c r="C44" s="9">
        <v>90000.0</v>
      </c>
      <c r="D44" s="9"/>
      <c r="E44" s="10">
        <f t="shared" si="1"/>
        <v>2219.78</v>
      </c>
      <c r="F44" s="6"/>
      <c r="G44" s="6"/>
      <c r="H44" s="1"/>
    </row>
    <row r="45">
      <c r="A45" s="7">
        <v>46077.0</v>
      </c>
      <c r="B45" s="1" t="s">
        <v>36</v>
      </c>
      <c r="C45" s="8">
        <f>D45-615869.25</f>
        <v>10350.75</v>
      </c>
      <c r="D45" s="9">
        <v>626220.0</v>
      </c>
      <c r="E45" s="10">
        <f t="shared" si="1"/>
        <v>618089.03</v>
      </c>
      <c r="F45" s="6"/>
      <c r="G45" s="6"/>
      <c r="H45" s="1"/>
    </row>
    <row r="46">
      <c r="A46" s="7">
        <v>46078.0</v>
      </c>
      <c r="B46" s="1" t="s">
        <v>28</v>
      </c>
      <c r="C46" s="9">
        <v>15396.73</v>
      </c>
      <c r="D46" s="9"/>
      <c r="E46" s="10">
        <f t="shared" si="1"/>
        <v>602692.3</v>
      </c>
      <c r="F46" s="6"/>
      <c r="G46" s="6"/>
      <c r="H46" s="1"/>
    </row>
    <row r="47">
      <c r="A47" s="7">
        <v>46078.0</v>
      </c>
      <c r="B47" s="1" t="s">
        <v>37</v>
      </c>
      <c r="C47" s="8">
        <f>D47-264111.16</f>
        <v>4438.84</v>
      </c>
      <c r="D47" s="9">
        <v>268550.0</v>
      </c>
      <c r="E47" s="10">
        <f t="shared" si="1"/>
        <v>866803.46</v>
      </c>
      <c r="F47" s="6"/>
      <c r="G47" s="6"/>
      <c r="H47" s="1"/>
    </row>
    <row r="48">
      <c r="A48" s="7">
        <v>46078.0</v>
      </c>
      <c r="B48" s="1" t="s">
        <v>38</v>
      </c>
      <c r="C48" s="9">
        <v>715466.71</v>
      </c>
      <c r="D48" s="9"/>
      <c r="E48" s="10">
        <f t="shared" si="1"/>
        <v>151336.75</v>
      </c>
      <c r="F48" s="6"/>
      <c r="G48" s="6"/>
      <c r="H48" s="1"/>
    </row>
    <row r="49">
      <c r="A49" s="7">
        <v>46078.0</v>
      </c>
      <c r="B49" s="1" t="s">
        <v>39</v>
      </c>
      <c r="C49" s="9"/>
      <c r="D49" s="9">
        <v>340000.0</v>
      </c>
      <c r="E49" s="10">
        <f t="shared" si="1"/>
        <v>491336.75</v>
      </c>
      <c r="F49" s="6"/>
      <c r="G49" s="6"/>
      <c r="H49" s="1"/>
    </row>
    <row r="50">
      <c r="A50" s="7">
        <v>46079.0</v>
      </c>
      <c r="B50" s="1" t="s">
        <v>28</v>
      </c>
      <c r="C50" s="9">
        <v>8500.0</v>
      </c>
      <c r="D50" s="9"/>
      <c r="E50" s="10">
        <f t="shared" si="1"/>
        <v>482836.75</v>
      </c>
      <c r="F50" s="6"/>
      <c r="G50" s="6"/>
      <c r="H50" s="1"/>
    </row>
    <row r="51">
      <c r="A51" s="7">
        <v>46079.0</v>
      </c>
      <c r="B51" s="1" t="s">
        <v>28</v>
      </c>
      <c r="C51" s="9">
        <v>6602.77</v>
      </c>
      <c r="D51" s="9"/>
      <c r="E51" s="10">
        <f t="shared" si="1"/>
        <v>476233.98</v>
      </c>
      <c r="F51" s="6"/>
      <c r="G51" s="6"/>
      <c r="H51" s="1"/>
    </row>
    <row r="52">
      <c r="A52" s="7">
        <v>46083.0</v>
      </c>
      <c r="B52" s="1" t="s">
        <v>6</v>
      </c>
      <c r="C52" s="8">
        <f>D52-631748.36</f>
        <v>9251.64</v>
      </c>
      <c r="D52" s="9">
        <v>641000.0</v>
      </c>
      <c r="E52" s="10">
        <f t="shared" si="1"/>
        <v>1107982.34</v>
      </c>
      <c r="F52" s="6"/>
      <c r="G52" s="6"/>
      <c r="H52" s="1"/>
    </row>
    <row r="53">
      <c r="A53" s="7">
        <v>46083.0</v>
      </c>
      <c r="B53" s="1" t="s">
        <v>8</v>
      </c>
      <c r="C53" s="9">
        <v>53899.27</v>
      </c>
      <c r="D53" s="9"/>
      <c r="E53" s="10">
        <f t="shared" si="1"/>
        <v>1054083.07</v>
      </c>
      <c r="F53" s="6"/>
      <c r="G53" s="6"/>
      <c r="H53" s="1"/>
    </row>
    <row r="54">
      <c r="A54" s="7">
        <v>46083.0</v>
      </c>
      <c r="B54" s="1" t="s">
        <v>9</v>
      </c>
      <c r="C54" s="9"/>
      <c r="D54" s="9">
        <v>1200000.0</v>
      </c>
      <c r="E54" s="10">
        <f t="shared" si="1"/>
        <v>2254083.07</v>
      </c>
      <c r="F54" s="6"/>
      <c r="G54" s="6"/>
      <c r="H54" s="1"/>
    </row>
    <row r="55">
      <c r="A55" s="7">
        <v>46083.0</v>
      </c>
      <c r="B55" s="1" t="s">
        <v>40</v>
      </c>
      <c r="C55" s="9">
        <v>1599501.8</v>
      </c>
      <c r="D55" s="9"/>
      <c r="E55" s="10">
        <f t="shared" si="1"/>
        <v>654581.27</v>
      </c>
      <c r="F55" s="3">
        <v>1118.0</v>
      </c>
      <c r="G55" s="6"/>
      <c r="H55" s="1"/>
    </row>
    <row r="56">
      <c r="A56" s="7">
        <v>46084.0</v>
      </c>
      <c r="B56" s="1" t="s">
        <v>28</v>
      </c>
      <c r="C56" s="9">
        <v>15793.7</v>
      </c>
      <c r="D56" s="9"/>
      <c r="E56" s="10">
        <f t="shared" si="1"/>
        <v>638787.57</v>
      </c>
      <c r="F56" s="6"/>
      <c r="G56" s="6"/>
      <c r="H56" s="1"/>
    </row>
    <row r="57">
      <c r="A57" s="7">
        <v>46084.0</v>
      </c>
      <c r="B57" s="1" t="s">
        <v>28</v>
      </c>
      <c r="C57" s="9">
        <v>30000.0</v>
      </c>
      <c r="D57" s="9"/>
      <c r="E57" s="10">
        <f t="shared" si="1"/>
        <v>608787.57</v>
      </c>
      <c r="F57" s="6"/>
      <c r="G57" s="6"/>
      <c r="H57" s="1"/>
    </row>
    <row r="58">
      <c r="A58" s="7">
        <v>46087.0</v>
      </c>
      <c r="B58" s="1" t="s">
        <v>10</v>
      </c>
      <c r="C58" s="9">
        <v>289698.71</v>
      </c>
      <c r="D58" s="9"/>
      <c r="E58" s="10">
        <f t="shared" si="1"/>
        <v>319088.86</v>
      </c>
      <c r="F58" s="6"/>
      <c r="G58" s="6"/>
      <c r="H58" s="1"/>
    </row>
    <row r="59">
      <c r="A59" s="7">
        <v>46090.0</v>
      </c>
      <c r="B59" s="1" t="s">
        <v>41</v>
      </c>
      <c r="C59" s="8">
        <f>D59-1968909.09</f>
        <v>33090.91</v>
      </c>
      <c r="D59" s="9">
        <v>2002000.0</v>
      </c>
      <c r="E59" s="10">
        <f t="shared" si="1"/>
        <v>2287997.95</v>
      </c>
      <c r="F59" s="6"/>
      <c r="G59" s="6"/>
      <c r="H59" s="1"/>
    </row>
    <row r="60">
      <c r="A60" s="7">
        <v>46090.0</v>
      </c>
      <c r="B60" s="1" t="s">
        <v>42</v>
      </c>
      <c r="C60" s="9">
        <v>739487.95</v>
      </c>
      <c r="D60" s="9"/>
      <c r="E60" s="10">
        <f t="shared" si="1"/>
        <v>1548510</v>
      </c>
      <c r="F60" s="6"/>
      <c r="G60" s="6"/>
      <c r="H60" s="1"/>
    </row>
    <row r="61">
      <c r="A61" s="7">
        <v>46091.0</v>
      </c>
      <c r="B61" s="1" t="s">
        <v>28</v>
      </c>
      <c r="C61" s="9">
        <v>49222.72</v>
      </c>
      <c r="D61" s="9"/>
      <c r="E61" s="10">
        <f t="shared" si="1"/>
        <v>1499287.28</v>
      </c>
      <c r="F61" s="6"/>
      <c r="G61" s="6"/>
      <c r="H61" s="1"/>
    </row>
    <row r="62">
      <c r="A62" s="7">
        <v>46091.0</v>
      </c>
      <c r="B62" s="1" t="s">
        <v>43</v>
      </c>
      <c r="C62" s="9"/>
      <c r="D62" s="9">
        <v>60000.0</v>
      </c>
      <c r="E62" s="10">
        <f t="shared" si="1"/>
        <v>1559287.28</v>
      </c>
      <c r="F62" s="6"/>
      <c r="G62" s="6"/>
      <c r="H62" s="1"/>
    </row>
    <row r="63">
      <c r="A63" s="7">
        <v>46091.0</v>
      </c>
      <c r="B63" s="1" t="s">
        <v>23</v>
      </c>
      <c r="C63" s="9">
        <v>300000.0</v>
      </c>
      <c r="D63" s="9"/>
      <c r="E63" s="10">
        <f t="shared" si="1"/>
        <v>1259287.28</v>
      </c>
      <c r="F63" s="6"/>
      <c r="G63" s="6"/>
      <c r="H63" s="1"/>
    </row>
    <row r="64">
      <c r="A64" s="7">
        <v>46091.0</v>
      </c>
      <c r="B64" s="1" t="s">
        <v>23</v>
      </c>
      <c r="C64" s="9">
        <v>300000.0</v>
      </c>
      <c r="D64" s="9"/>
      <c r="E64" s="10">
        <f t="shared" si="1"/>
        <v>959287.28</v>
      </c>
      <c r="F64" s="6"/>
      <c r="G64" s="6"/>
      <c r="H64" s="1"/>
    </row>
    <row r="65">
      <c r="A65" s="7">
        <v>46091.0</v>
      </c>
      <c r="B65" s="1" t="s">
        <v>44</v>
      </c>
      <c r="C65" s="9"/>
      <c r="D65" s="9"/>
      <c r="E65" s="10">
        <f t="shared" si="1"/>
        <v>959287.28</v>
      </c>
      <c r="F65" s="6"/>
      <c r="G65" s="6"/>
      <c r="H65" s="1"/>
    </row>
    <row r="66">
      <c r="A66" s="7">
        <v>46092.0</v>
      </c>
      <c r="B66" s="1" t="s">
        <v>45</v>
      </c>
      <c r="C66" s="9">
        <v>1500.0</v>
      </c>
      <c r="D66" s="9"/>
      <c r="E66" s="10">
        <f t="shared" si="1"/>
        <v>957787.28</v>
      </c>
      <c r="F66" s="6"/>
      <c r="G66" s="6"/>
      <c r="H66" s="1"/>
    </row>
    <row r="67">
      <c r="A67" s="7">
        <v>46093.0</v>
      </c>
      <c r="B67" s="1" t="s">
        <v>11</v>
      </c>
      <c r="C67" s="9"/>
      <c r="D67" s="9">
        <v>600000.0</v>
      </c>
      <c r="E67" s="10">
        <f t="shared" si="1"/>
        <v>1557787.28</v>
      </c>
      <c r="F67" s="6"/>
      <c r="G67" s="6"/>
      <c r="H67" s="1"/>
    </row>
    <row r="68">
      <c r="A68" s="7">
        <v>46093.0</v>
      </c>
      <c r="B68" s="1" t="s">
        <v>46</v>
      </c>
      <c r="C68" s="9">
        <v>1489181.03</v>
      </c>
      <c r="D68" s="9"/>
      <c r="E68" s="10">
        <f t="shared" si="1"/>
        <v>68606.25</v>
      </c>
      <c r="F68" s="3">
        <v>1044.0</v>
      </c>
      <c r="G68" s="6"/>
      <c r="H68" s="1"/>
    </row>
    <row r="69">
      <c r="A69" s="7">
        <v>46094.0</v>
      </c>
      <c r="B69" s="1" t="s">
        <v>47</v>
      </c>
      <c r="C69" s="9"/>
      <c r="D69" s="9">
        <v>1200000.0</v>
      </c>
      <c r="E69" s="10">
        <f t="shared" si="1"/>
        <v>1268606.25</v>
      </c>
      <c r="F69" s="6"/>
      <c r="G69" s="6"/>
      <c r="H69" s="1"/>
    </row>
    <row r="70">
      <c r="A70" s="7">
        <v>46097.0</v>
      </c>
      <c r="B70" s="1" t="s">
        <v>45</v>
      </c>
      <c r="C70" s="9">
        <v>30000.0</v>
      </c>
      <c r="D70" s="9"/>
      <c r="E70" s="10">
        <f t="shared" si="1"/>
        <v>1238606.25</v>
      </c>
      <c r="F70" s="6"/>
      <c r="G70" s="6"/>
      <c r="H70" s="1"/>
    </row>
    <row r="71">
      <c r="A71" s="7">
        <v>46097.0</v>
      </c>
      <c r="B71" s="1" t="s">
        <v>48</v>
      </c>
      <c r="C71" s="9">
        <v>11384.7</v>
      </c>
      <c r="D71" s="9"/>
      <c r="E71" s="10">
        <f t="shared" si="1"/>
        <v>1227221.55</v>
      </c>
      <c r="F71" s="6"/>
      <c r="G71" s="6"/>
      <c r="H71" s="1"/>
    </row>
    <row r="72">
      <c r="A72" s="7">
        <v>46098.0</v>
      </c>
      <c r="B72" s="1" t="s">
        <v>7</v>
      </c>
      <c r="C72" s="9">
        <v>1220000.0</v>
      </c>
      <c r="D72" s="9"/>
      <c r="E72" s="10">
        <f t="shared" si="1"/>
        <v>7221.55</v>
      </c>
      <c r="F72" s="6"/>
      <c r="G72" s="6"/>
      <c r="H72" s="1"/>
    </row>
    <row r="73">
      <c r="A73" s="7">
        <v>46111.0</v>
      </c>
      <c r="B73" s="1" t="s">
        <v>11</v>
      </c>
      <c r="C73" s="9"/>
      <c r="D73" s="9">
        <v>80000.0</v>
      </c>
      <c r="E73" s="10">
        <f t="shared" si="1"/>
        <v>87221.55</v>
      </c>
      <c r="F73" s="6"/>
      <c r="G73" s="6"/>
      <c r="H73" s="1"/>
    </row>
    <row r="74">
      <c r="A74" s="7">
        <v>46111.0</v>
      </c>
      <c r="B74" s="1" t="s">
        <v>11</v>
      </c>
      <c r="C74" s="9"/>
      <c r="D74" s="9">
        <v>15000.0</v>
      </c>
      <c r="E74" s="10">
        <f t="shared" si="1"/>
        <v>102221.55</v>
      </c>
      <c r="F74" s="6"/>
      <c r="G74" s="6"/>
      <c r="H74" s="1"/>
    </row>
    <row r="75">
      <c r="A75" s="7">
        <v>46113.0</v>
      </c>
      <c r="B75" s="1" t="s">
        <v>49</v>
      </c>
      <c r="C75" s="9">
        <v>72000.0</v>
      </c>
      <c r="D75" s="9"/>
      <c r="E75" s="10">
        <f t="shared" si="1"/>
        <v>30221.55</v>
      </c>
      <c r="F75" s="6"/>
      <c r="G75" s="6"/>
      <c r="H75" s="1"/>
    </row>
    <row r="76">
      <c r="A76" s="7">
        <v>46113.0</v>
      </c>
      <c r="B76" s="1" t="s">
        <v>49</v>
      </c>
      <c r="C76" s="9">
        <v>11700.0</v>
      </c>
      <c r="D76" s="9"/>
      <c r="E76" s="10">
        <f t="shared" si="1"/>
        <v>18521.55</v>
      </c>
      <c r="F76" s="6"/>
      <c r="G76" s="6"/>
      <c r="H76" s="1"/>
    </row>
    <row r="77">
      <c r="A77" s="7">
        <v>46113.0</v>
      </c>
      <c r="B77" s="1" t="s">
        <v>6</v>
      </c>
      <c r="C77" s="8">
        <f>D77-929443.09</f>
        <v>14254.91</v>
      </c>
      <c r="D77" s="9">
        <v>943698.0</v>
      </c>
      <c r="E77" s="10">
        <f t="shared" si="1"/>
        <v>947964.64</v>
      </c>
      <c r="F77" s="6"/>
      <c r="G77" s="6"/>
      <c r="H77" s="1"/>
    </row>
    <row r="78">
      <c r="A78" s="7">
        <v>46113.0</v>
      </c>
      <c r="B78" s="1" t="s">
        <v>8</v>
      </c>
      <c r="C78" s="9">
        <v>57737.78</v>
      </c>
      <c r="D78" s="9"/>
      <c r="E78" s="10">
        <f t="shared" si="1"/>
        <v>890226.86</v>
      </c>
      <c r="F78" s="6"/>
      <c r="G78" s="6"/>
      <c r="H78" s="1"/>
    </row>
    <row r="79">
      <c r="A79" s="7">
        <v>46114.0</v>
      </c>
      <c r="B79" s="1" t="s">
        <v>50</v>
      </c>
      <c r="C79" s="9">
        <v>200000.0</v>
      </c>
      <c r="D79" s="9"/>
      <c r="E79" s="10">
        <f t="shared" si="1"/>
        <v>690226.86</v>
      </c>
      <c r="F79" s="6"/>
      <c r="G79" s="6"/>
      <c r="H79" s="1"/>
    </row>
    <row r="80">
      <c r="A80" s="7">
        <v>46114.0</v>
      </c>
      <c r="B80" s="1" t="s">
        <v>51</v>
      </c>
      <c r="C80" s="9">
        <v>3700.96</v>
      </c>
      <c r="D80" s="9"/>
      <c r="E80" s="10">
        <f t="shared" si="1"/>
        <v>686525.9</v>
      </c>
      <c r="F80" s="6"/>
      <c r="G80" s="6"/>
      <c r="H80" s="1"/>
    </row>
    <row r="81">
      <c r="A81" s="7">
        <v>46118.0</v>
      </c>
      <c r="B81" s="1" t="s">
        <v>23</v>
      </c>
      <c r="C81" s="9">
        <v>680000.0</v>
      </c>
      <c r="D81" s="9"/>
      <c r="E81" s="10">
        <f t="shared" si="1"/>
        <v>6525.9</v>
      </c>
      <c r="F81" s="6"/>
      <c r="G81" s="6"/>
      <c r="H81" s="1"/>
    </row>
    <row r="82">
      <c r="A82" s="7">
        <v>46119.0</v>
      </c>
      <c r="B82" s="1" t="s">
        <v>52</v>
      </c>
      <c r="C82" s="8">
        <f>D82-1107962.16</f>
        <v>18621.22</v>
      </c>
      <c r="D82" s="9">
        <v>1126583.38</v>
      </c>
      <c r="E82" s="10">
        <f t="shared" si="1"/>
        <v>1114488.06</v>
      </c>
      <c r="F82" s="6"/>
      <c r="G82" s="6"/>
      <c r="H82" s="1"/>
    </row>
    <row r="83">
      <c r="A83" s="7">
        <v>46119.0</v>
      </c>
      <c r="B83" s="1" t="s">
        <v>53</v>
      </c>
      <c r="C83" s="9">
        <v>804944.71</v>
      </c>
      <c r="D83" s="9"/>
      <c r="E83" s="10">
        <f t="shared" si="1"/>
        <v>309543.35</v>
      </c>
      <c r="F83" s="6"/>
      <c r="G83" s="6"/>
      <c r="H83" s="1"/>
    </row>
    <row r="84">
      <c r="A84" s="7">
        <v>46120.0</v>
      </c>
      <c r="B84" s="1" t="s">
        <v>9</v>
      </c>
      <c r="C84" s="9"/>
      <c r="D84" s="9">
        <v>400000.0</v>
      </c>
      <c r="E84" s="10">
        <f t="shared" si="1"/>
        <v>709543.35</v>
      </c>
      <c r="F84" s="6"/>
      <c r="G84" s="6"/>
      <c r="H84" s="1"/>
    </row>
    <row r="85">
      <c r="A85" s="7">
        <v>46121.0</v>
      </c>
      <c r="B85" s="1" t="s">
        <v>10</v>
      </c>
      <c r="C85" s="9">
        <v>78516.46</v>
      </c>
      <c r="D85" s="9"/>
      <c r="E85" s="10">
        <f t="shared" si="1"/>
        <v>631026.89</v>
      </c>
      <c r="F85" s="6"/>
      <c r="G85" s="6"/>
      <c r="H85" s="1"/>
    </row>
    <row r="86">
      <c r="A86" s="7">
        <v>46121.0</v>
      </c>
      <c r="B86" s="1" t="s">
        <v>23</v>
      </c>
      <c r="C86" s="9">
        <v>600000.0</v>
      </c>
      <c r="D86" s="9"/>
      <c r="E86" s="10">
        <f t="shared" si="1"/>
        <v>31026.89</v>
      </c>
      <c r="F86" s="6"/>
      <c r="G86" s="6"/>
      <c r="H86" s="1"/>
    </row>
    <row r="87">
      <c r="A87" s="7">
        <v>46122.0</v>
      </c>
      <c r="B87" s="1" t="s">
        <v>54</v>
      </c>
      <c r="C87" s="8">
        <f>D87-4485812.2</f>
        <v>75391.8</v>
      </c>
      <c r="D87" s="9">
        <v>4561204.0</v>
      </c>
      <c r="E87" s="10">
        <f t="shared" si="1"/>
        <v>4516839.09</v>
      </c>
      <c r="F87" s="6"/>
      <c r="G87" s="6"/>
      <c r="H87" s="1"/>
    </row>
    <row r="88">
      <c r="A88" s="7">
        <v>46122.0</v>
      </c>
      <c r="B88" s="1" t="s">
        <v>55</v>
      </c>
      <c r="C88" s="3">
        <v>3606597.47</v>
      </c>
      <c r="D88" s="9"/>
      <c r="E88" s="10">
        <f t="shared" si="1"/>
        <v>910241.62</v>
      </c>
      <c r="F88" s="6"/>
      <c r="G88" s="6"/>
      <c r="H88" s="1"/>
    </row>
    <row r="89">
      <c r="A89" s="7">
        <v>46122.0</v>
      </c>
      <c r="B89" s="1" t="s">
        <v>56</v>
      </c>
      <c r="C89" s="9">
        <v>803122.68</v>
      </c>
      <c r="D89" s="9"/>
      <c r="E89" s="10">
        <f t="shared" si="1"/>
        <v>107118.94</v>
      </c>
      <c r="F89" s="3">
        <v>570.0</v>
      </c>
      <c r="G89" s="6"/>
      <c r="H89" s="1"/>
    </row>
    <row r="90">
      <c r="A90" s="7">
        <v>46122.0</v>
      </c>
      <c r="B90" s="1" t="s">
        <v>35</v>
      </c>
      <c r="C90" s="9"/>
      <c r="D90" s="9">
        <v>13967.85</v>
      </c>
      <c r="E90" s="10">
        <f t="shared" si="1"/>
        <v>121086.79</v>
      </c>
      <c r="F90" s="6"/>
      <c r="G90" s="6"/>
      <c r="H90" s="1"/>
    </row>
    <row r="91">
      <c r="A91" s="7">
        <v>46127.0</v>
      </c>
      <c r="B91" s="1" t="s">
        <v>57</v>
      </c>
      <c r="C91" s="9"/>
      <c r="D91" s="9">
        <v>1000000.0</v>
      </c>
      <c r="E91" s="10">
        <f t="shared" si="1"/>
        <v>1121086.79</v>
      </c>
      <c r="F91" s="6"/>
      <c r="G91" s="6"/>
      <c r="H91" s="1"/>
    </row>
    <row r="92">
      <c r="A92" s="7">
        <v>46127.0</v>
      </c>
      <c r="B92" s="1" t="s">
        <v>58</v>
      </c>
      <c r="C92" s="9">
        <v>999633.04</v>
      </c>
      <c r="D92" s="9"/>
      <c r="E92" s="10">
        <f t="shared" si="1"/>
        <v>121453.75</v>
      </c>
      <c r="F92" s="3">
        <v>724.0</v>
      </c>
      <c r="G92" s="6"/>
      <c r="H92" s="1"/>
    </row>
    <row r="93">
      <c r="A93" s="7">
        <v>46128.0</v>
      </c>
      <c r="B93" s="1" t="s">
        <v>59</v>
      </c>
      <c r="C93" s="9">
        <v>11384.7</v>
      </c>
      <c r="D93" s="9"/>
      <c r="E93" s="10">
        <f t="shared" si="1"/>
        <v>110069.05</v>
      </c>
      <c r="F93" s="6"/>
      <c r="G93" s="6"/>
      <c r="H93" s="1"/>
    </row>
    <row r="94">
      <c r="A94" s="7">
        <v>46135.0</v>
      </c>
      <c r="B94" s="1" t="s">
        <v>60</v>
      </c>
      <c r="C94" s="9"/>
      <c r="D94" s="9"/>
      <c r="E94" s="10">
        <f t="shared" si="1"/>
        <v>110069.05</v>
      </c>
      <c r="F94" s="3">
        <v>-1072.0</v>
      </c>
      <c r="G94" s="6"/>
      <c r="H94" s="1" t="s">
        <v>61</v>
      </c>
    </row>
    <row r="95">
      <c r="A95" s="7"/>
      <c r="B95" s="1" t="s">
        <v>62</v>
      </c>
      <c r="C95" s="9">
        <v>11384.7</v>
      </c>
      <c r="D95" s="9"/>
      <c r="E95" s="10">
        <f t="shared" si="1"/>
        <v>98684.35</v>
      </c>
      <c r="F95" s="6"/>
      <c r="G95" s="6"/>
      <c r="H95" s="1"/>
    </row>
    <row r="96">
      <c r="A96" s="7"/>
      <c r="B96" s="1" t="s">
        <v>62</v>
      </c>
      <c r="C96" s="9">
        <v>11384.7</v>
      </c>
      <c r="D96" s="9"/>
      <c r="E96" s="10">
        <f t="shared" si="1"/>
        <v>87299.65</v>
      </c>
      <c r="F96" s="6"/>
      <c r="G96" s="6"/>
      <c r="H96" s="1"/>
    </row>
    <row r="97">
      <c r="A97" s="7"/>
      <c r="B97" s="1" t="s">
        <v>62</v>
      </c>
      <c r="C97" s="9">
        <v>11384.7</v>
      </c>
      <c r="D97" s="9"/>
      <c r="E97" s="10"/>
      <c r="F97" s="6">
        <f t="shared" ref="F97:G97" si="2">SUM(F2:F96)</f>
        <v>2995.64</v>
      </c>
      <c r="G97" s="6">
        <f t="shared" si="2"/>
        <v>0</v>
      </c>
      <c r="H97" s="1"/>
    </row>
    <row r="98">
      <c r="A98" s="7"/>
      <c r="B98" s="1"/>
      <c r="C98" s="9"/>
      <c r="D98" s="9"/>
      <c r="E98" s="10"/>
      <c r="F98" s="6"/>
      <c r="G98" s="6"/>
      <c r="H98" s="1"/>
    </row>
    <row r="99">
      <c r="A99" s="7"/>
      <c r="B99" s="1"/>
      <c r="C99" s="9"/>
      <c r="D99" s="9"/>
      <c r="E99" s="10"/>
      <c r="F99" s="6"/>
      <c r="G99" s="6"/>
      <c r="H99" s="1"/>
    </row>
    <row r="100">
      <c r="A100" s="7"/>
      <c r="B100" s="1"/>
      <c r="C100" s="9"/>
      <c r="D100" s="9"/>
      <c r="E100" s="10"/>
      <c r="F100" s="6"/>
      <c r="G100" s="6"/>
      <c r="H100" s="1"/>
    </row>
    <row r="101">
      <c r="A101" s="7"/>
      <c r="B101" s="1"/>
      <c r="C101" s="9"/>
      <c r="D101" s="9"/>
      <c r="E101" s="10"/>
      <c r="F101" s="6"/>
      <c r="G101" s="6"/>
      <c r="H101" s="1"/>
    </row>
    <row r="102">
      <c r="A102" s="7"/>
      <c r="B102" s="1"/>
      <c r="C102" s="9"/>
      <c r="D102" s="9"/>
      <c r="E102" s="10"/>
      <c r="F102" s="6"/>
      <c r="G102" s="6"/>
      <c r="H102" s="1"/>
    </row>
    <row r="103">
      <c r="A103" s="7"/>
      <c r="B103" s="1"/>
      <c r="C103" s="9"/>
      <c r="D103" s="9"/>
      <c r="E103" s="10"/>
      <c r="F103" s="6"/>
      <c r="G103" s="6"/>
      <c r="H103" s="1"/>
    </row>
    <row r="104">
      <c r="A104" s="7"/>
      <c r="B104" s="1"/>
      <c r="C104" s="9"/>
      <c r="D104" s="9"/>
      <c r="E104" s="10"/>
      <c r="F104" s="6"/>
      <c r="G104" s="6"/>
      <c r="H104" s="1"/>
    </row>
    <row r="105">
      <c r="A105" s="7"/>
      <c r="B105" s="1"/>
      <c r="C105" s="9"/>
      <c r="D105" s="9"/>
      <c r="E105" s="10"/>
      <c r="F105" s="6"/>
      <c r="G105" s="6"/>
      <c r="H105" s="1"/>
    </row>
    <row r="106">
      <c r="A106" s="7"/>
      <c r="B106" s="1"/>
      <c r="C106" s="9"/>
      <c r="D106" s="9"/>
      <c r="E106" s="10"/>
      <c r="F106" s="6"/>
      <c r="G106" s="6"/>
      <c r="H106" s="1"/>
    </row>
    <row r="107">
      <c r="A107" s="7"/>
      <c r="B107" s="1"/>
      <c r="C107" s="9"/>
      <c r="D107" s="9"/>
      <c r="E107" s="10"/>
      <c r="F107" s="6"/>
      <c r="G107" s="6"/>
      <c r="H107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7.29" defaultRowHeight="15.0"/>
  <cols>
    <col customWidth="1" min="1" max="1" width="12.86"/>
    <col customWidth="1" min="2" max="2" width="46.43"/>
    <col customWidth="1" min="3" max="3" width="15.57"/>
    <col customWidth="1" min="4" max="4" width="16.29"/>
    <col customWidth="1" min="5" max="5" width="17.71"/>
    <col customWidth="1" min="6" max="6" width="13.14"/>
    <col customWidth="1" min="7" max="7" width="10.71"/>
    <col customWidth="1" min="8" max="8" width="13.43"/>
    <col customWidth="1" min="9" max="9" width="16.14"/>
    <col customWidth="1" min="10" max="25" width="10.71"/>
  </cols>
  <sheetData>
    <row r="1" ht="23.25" customHeight="1">
      <c r="A1" s="11" t="s">
        <v>63</v>
      </c>
      <c r="B1" s="13" t="s">
        <v>64</v>
      </c>
      <c r="C1" s="4" t="s">
        <v>2</v>
      </c>
      <c r="D1" s="4" t="s">
        <v>3</v>
      </c>
      <c r="E1" s="5" t="s">
        <v>4</v>
      </c>
      <c r="F1" s="4" t="s">
        <v>65</v>
      </c>
      <c r="G1" s="4" t="s">
        <v>66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>
      <c r="A2" s="11">
        <v>46023.0</v>
      </c>
      <c r="B2" s="15" t="s">
        <v>67</v>
      </c>
      <c r="C2" s="16">
        <v>180000.0</v>
      </c>
      <c r="D2" s="3"/>
      <c r="E2" s="3">
        <v>2622531.03</v>
      </c>
      <c r="F2" s="3"/>
      <c r="G2" s="6"/>
    </row>
    <row r="3">
      <c r="A3" s="11">
        <v>46023.0</v>
      </c>
      <c r="B3" s="15" t="s">
        <v>68</v>
      </c>
      <c r="C3" s="16">
        <v>180000.0</v>
      </c>
      <c r="D3" s="3"/>
      <c r="E3" s="4">
        <f t="shared" ref="E3:E69" si="1">E2+D3-C3</f>
        <v>2442531.03</v>
      </c>
      <c r="F3" s="3"/>
      <c r="G3" s="6"/>
    </row>
    <row r="4">
      <c r="A4" s="11">
        <v>46024.0</v>
      </c>
      <c r="B4" s="15" t="s">
        <v>69</v>
      </c>
      <c r="C4" s="16"/>
      <c r="D4" s="3">
        <v>1066311.67</v>
      </c>
      <c r="E4" s="4">
        <f t="shared" si="1"/>
        <v>3508842.7</v>
      </c>
      <c r="F4" s="3"/>
      <c r="G4" s="6"/>
    </row>
    <row r="5">
      <c r="A5" s="11">
        <v>45663.0</v>
      </c>
      <c r="B5" s="15" t="s">
        <v>70</v>
      </c>
      <c r="C5" s="16"/>
      <c r="D5" s="3">
        <v>1200000.0</v>
      </c>
      <c r="E5" s="4">
        <f t="shared" si="1"/>
        <v>4708842.7</v>
      </c>
      <c r="F5" s="3"/>
      <c r="G5" s="6"/>
    </row>
    <row r="6">
      <c r="A6" s="11">
        <v>45664.0</v>
      </c>
      <c r="B6" s="15" t="s">
        <v>71</v>
      </c>
      <c r="C6" s="16">
        <v>4109502.29</v>
      </c>
      <c r="D6" s="3"/>
      <c r="E6" s="4">
        <f t="shared" si="1"/>
        <v>599340.41</v>
      </c>
      <c r="F6" s="3"/>
      <c r="G6" s="6"/>
    </row>
    <row r="7">
      <c r="A7" s="11">
        <v>45665.0</v>
      </c>
      <c r="B7" s="15" t="s">
        <v>23</v>
      </c>
      <c r="C7" s="16">
        <v>400000.0</v>
      </c>
      <c r="D7" s="3"/>
      <c r="E7" s="4">
        <f t="shared" si="1"/>
        <v>199340.41</v>
      </c>
      <c r="F7" s="3"/>
      <c r="G7" s="6"/>
    </row>
    <row r="8">
      <c r="A8" s="11">
        <v>45665.0</v>
      </c>
      <c r="B8" s="1" t="s">
        <v>72</v>
      </c>
      <c r="C8" s="3">
        <v>110000.0</v>
      </c>
      <c r="D8" s="3"/>
      <c r="E8" s="4">
        <f t="shared" si="1"/>
        <v>89340.41</v>
      </c>
      <c r="F8" s="3"/>
      <c r="G8" s="6"/>
    </row>
    <row r="9">
      <c r="A9" s="11">
        <v>46032.0</v>
      </c>
      <c r="B9" s="15" t="s">
        <v>73</v>
      </c>
      <c r="C9" s="17">
        <v>17645.54</v>
      </c>
      <c r="D9" s="3"/>
      <c r="E9" s="4">
        <f t="shared" si="1"/>
        <v>71694.87</v>
      </c>
      <c r="F9" s="3"/>
      <c r="G9" s="6"/>
    </row>
    <row r="10">
      <c r="A10" s="11">
        <v>46032.0</v>
      </c>
      <c r="B10" s="15" t="s">
        <v>74</v>
      </c>
      <c r="C10" s="17">
        <v>24409.86</v>
      </c>
      <c r="D10" s="3"/>
      <c r="E10" s="4">
        <f t="shared" si="1"/>
        <v>47285.01</v>
      </c>
      <c r="F10" s="3"/>
      <c r="G10" s="6"/>
    </row>
    <row r="11">
      <c r="A11" s="11">
        <v>46032.0</v>
      </c>
      <c r="B11" s="15" t="s">
        <v>75</v>
      </c>
      <c r="C11" s="17">
        <v>42496.72</v>
      </c>
      <c r="D11" s="3"/>
      <c r="E11" s="4">
        <f t="shared" si="1"/>
        <v>4788.29</v>
      </c>
      <c r="F11" s="3"/>
      <c r="G11" s="6"/>
    </row>
    <row r="12">
      <c r="A12" s="11">
        <v>46035.0</v>
      </c>
      <c r="B12" s="1" t="s">
        <v>76</v>
      </c>
      <c r="C12" s="16"/>
      <c r="D12" s="3">
        <v>297000.0</v>
      </c>
      <c r="E12" s="4">
        <f t="shared" si="1"/>
        <v>301788.29</v>
      </c>
      <c r="F12" s="3"/>
      <c r="G12" s="6"/>
    </row>
    <row r="13">
      <c r="A13" s="11">
        <v>46036.0</v>
      </c>
      <c r="B13" s="1" t="s">
        <v>77</v>
      </c>
      <c r="C13" s="16"/>
      <c r="D13" s="3">
        <v>312000.0</v>
      </c>
      <c r="E13" s="4">
        <f t="shared" si="1"/>
        <v>613788.29</v>
      </c>
      <c r="F13" s="3"/>
      <c r="G13" s="6"/>
    </row>
    <row r="14">
      <c r="A14" s="11">
        <v>46037.0</v>
      </c>
      <c r="B14" s="1" t="s">
        <v>72</v>
      </c>
      <c r="C14" s="16">
        <v>500000.0</v>
      </c>
      <c r="D14" s="3"/>
      <c r="E14" s="4">
        <f t="shared" si="1"/>
        <v>113788.29</v>
      </c>
      <c r="F14" s="3"/>
      <c r="G14" s="6"/>
    </row>
    <row r="15">
      <c r="A15" s="11">
        <v>46037.0</v>
      </c>
      <c r="B15" s="1" t="s">
        <v>23</v>
      </c>
      <c r="C15" s="3">
        <v>100000.0</v>
      </c>
      <c r="D15" s="3"/>
      <c r="E15" s="4">
        <f t="shared" si="1"/>
        <v>13788.29</v>
      </c>
      <c r="F15" s="3"/>
      <c r="G15" s="6"/>
    </row>
    <row r="16">
      <c r="A16" s="11">
        <v>46043.0</v>
      </c>
      <c r="B16" s="1" t="s">
        <v>70</v>
      </c>
      <c r="C16" s="16"/>
      <c r="D16" s="3">
        <v>1700000.0</v>
      </c>
      <c r="E16" s="4">
        <f t="shared" si="1"/>
        <v>1713788.29</v>
      </c>
      <c r="F16" s="3"/>
      <c r="G16" s="6"/>
    </row>
    <row r="17">
      <c r="A17" s="11">
        <v>46043.0</v>
      </c>
      <c r="B17" s="1" t="s">
        <v>78</v>
      </c>
      <c r="C17" s="16">
        <v>1673250.0</v>
      </c>
      <c r="D17" s="3"/>
      <c r="E17" s="4">
        <f t="shared" si="1"/>
        <v>40538.29</v>
      </c>
      <c r="F17" s="3">
        <v>1150.0</v>
      </c>
      <c r="G17" s="6"/>
    </row>
    <row r="18">
      <c r="A18" s="11">
        <v>46045.0</v>
      </c>
      <c r="B18" s="1" t="s">
        <v>79</v>
      </c>
      <c r="C18" s="16"/>
      <c r="D18" s="3">
        <v>1192800.0</v>
      </c>
      <c r="E18" s="4">
        <f t="shared" si="1"/>
        <v>1233338.29</v>
      </c>
      <c r="F18" s="3"/>
      <c r="G18" s="6"/>
    </row>
    <row r="19">
      <c r="A19" s="11">
        <v>46048.0</v>
      </c>
      <c r="B19" s="1" t="s">
        <v>70</v>
      </c>
      <c r="C19" s="16"/>
      <c r="D19" s="3">
        <v>600000.0</v>
      </c>
      <c r="E19" s="4">
        <f t="shared" si="1"/>
        <v>1833338.29</v>
      </c>
      <c r="F19" s="3"/>
      <c r="G19" s="6"/>
    </row>
    <row r="20">
      <c r="A20" s="11">
        <v>46048.0</v>
      </c>
      <c r="B20" s="1" t="s">
        <v>78</v>
      </c>
      <c r="C20" s="16">
        <v>730000.0</v>
      </c>
      <c r="D20" s="4"/>
      <c r="E20" s="4">
        <f t="shared" si="1"/>
        <v>1103338.29</v>
      </c>
      <c r="F20" s="3">
        <v>500.0</v>
      </c>
      <c r="G20" s="6"/>
    </row>
    <row r="21">
      <c r="A21" s="11">
        <v>46052.0</v>
      </c>
      <c r="B21" s="1" t="s">
        <v>78</v>
      </c>
      <c r="C21" s="16">
        <v>439500.0</v>
      </c>
      <c r="D21" s="3"/>
      <c r="E21" s="4">
        <f t="shared" si="1"/>
        <v>663838.29</v>
      </c>
      <c r="F21" s="3">
        <v>300.0</v>
      </c>
      <c r="G21" s="6"/>
    </row>
    <row r="22">
      <c r="A22" s="11">
        <v>46052.0</v>
      </c>
      <c r="B22" s="1" t="s">
        <v>80</v>
      </c>
      <c r="C22" s="16"/>
      <c r="D22" s="3">
        <v>1973998.22</v>
      </c>
      <c r="E22" s="4">
        <f t="shared" si="1"/>
        <v>2637836.51</v>
      </c>
      <c r="F22" s="3"/>
      <c r="G22" s="6"/>
    </row>
    <row r="23">
      <c r="A23" s="11">
        <v>46055.0</v>
      </c>
      <c r="B23" s="15" t="s">
        <v>81</v>
      </c>
      <c r="C23" s="16"/>
      <c r="D23" s="3">
        <v>16000.0</v>
      </c>
      <c r="E23" s="4">
        <f t="shared" si="1"/>
        <v>2653836.51</v>
      </c>
      <c r="F23" s="3"/>
      <c r="G23" s="6"/>
    </row>
    <row r="24">
      <c r="A24" s="11">
        <v>46055.0</v>
      </c>
      <c r="B24" s="15" t="s">
        <v>69</v>
      </c>
      <c r="C24" s="16"/>
      <c r="D24" s="3">
        <v>1066311.67</v>
      </c>
      <c r="E24" s="4">
        <f t="shared" si="1"/>
        <v>3720148.18</v>
      </c>
      <c r="F24" s="3"/>
      <c r="G24" s="6"/>
      <c r="H24" s="6">
        <f>D24*0.05</f>
        <v>53315.5835</v>
      </c>
    </row>
    <row r="25">
      <c r="A25" s="11">
        <v>46055.0</v>
      </c>
      <c r="B25" s="1" t="s">
        <v>78</v>
      </c>
      <c r="C25" s="16">
        <v>147000.0</v>
      </c>
      <c r="D25" s="3"/>
      <c r="E25" s="4">
        <f t="shared" si="1"/>
        <v>3573148.18</v>
      </c>
      <c r="F25" s="3">
        <v>100.0</v>
      </c>
      <c r="G25" s="6"/>
      <c r="H25" s="1">
        <v>19170.0</v>
      </c>
    </row>
    <row r="26">
      <c r="A26" s="11">
        <v>46058.0</v>
      </c>
      <c r="B26" s="1" t="s">
        <v>11</v>
      </c>
      <c r="C26" s="16"/>
      <c r="D26" s="3">
        <v>1000000.0</v>
      </c>
      <c r="E26" s="4">
        <f t="shared" si="1"/>
        <v>4573148.18</v>
      </c>
      <c r="F26" s="3"/>
      <c r="G26" s="6"/>
      <c r="H26" s="6">
        <f>SUM(H24:H25)</f>
        <v>72485.5835</v>
      </c>
    </row>
    <row r="27">
      <c r="A27" s="11">
        <v>46058.0</v>
      </c>
      <c r="B27" s="1" t="s">
        <v>71</v>
      </c>
      <c r="C27" s="16">
        <v>3651434.08</v>
      </c>
      <c r="D27" s="3"/>
      <c r="E27" s="4">
        <f t="shared" si="1"/>
        <v>921714.1</v>
      </c>
      <c r="F27" s="3"/>
      <c r="G27" s="6"/>
    </row>
    <row r="28">
      <c r="A28" s="11">
        <v>46058.0</v>
      </c>
      <c r="B28" s="1" t="s">
        <v>72</v>
      </c>
      <c r="C28" s="16">
        <v>900000.0</v>
      </c>
      <c r="D28" s="3"/>
      <c r="E28" s="4">
        <f t="shared" si="1"/>
        <v>21714.1</v>
      </c>
      <c r="F28" s="3"/>
      <c r="G28" s="6"/>
    </row>
    <row r="29">
      <c r="A29" s="11">
        <v>46063.0</v>
      </c>
      <c r="B29" s="15" t="s">
        <v>82</v>
      </c>
      <c r="C29" s="3">
        <v>17645.54</v>
      </c>
      <c r="D29" s="3"/>
      <c r="E29" s="4">
        <f t="shared" si="1"/>
        <v>4068.56</v>
      </c>
      <c r="F29" s="3"/>
      <c r="G29" s="6"/>
    </row>
    <row r="30">
      <c r="A30" s="11">
        <v>46071.0</v>
      </c>
      <c r="B30" s="1" t="s">
        <v>11</v>
      </c>
      <c r="C30" s="3"/>
      <c r="D30" s="3">
        <v>100000.0</v>
      </c>
      <c r="E30" s="4">
        <f t="shared" si="1"/>
        <v>104068.56</v>
      </c>
      <c r="F30" s="3"/>
      <c r="G30" s="6"/>
    </row>
    <row r="31">
      <c r="A31" s="11">
        <v>46071.0</v>
      </c>
      <c r="B31" s="1" t="s">
        <v>79</v>
      </c>
      <c r="C31" s="3"/>
      <c r="D31" s="3">
        <v>1341900.0</v>
      </c>
      <c r="E31" s="4">
        <f t="shared" si="1"/>
        <v>1445968.56</v>
      </c>
      <c r="F31" s="3"/>
      <c r="G31" s="6"/>
    </row>
    <row r="32">
      <c r="A32" s="11">
        <v>46072.0</v>
      </c>
      <c r="B32" s="1" t="s">
        <v>83</v>
      </c>
      <c r="C32" s="3">
        <v>217421.0</v>
      </c>
      <c r="D32" s="3"/>
      <c r="E32" s="4">
        <f t="shared" si="1"/>
        <v>1228547.56</v>
      </c>
      <c r="F32" s="3"/>
      <c r="G32" s="6"/>
    </row>
    <row r="33">
      <c r="A33" s="11">
        <v>46072.0</v>
      </c>
      <c r="B33" s="1" t="s">
        <v>42</v>
      </c>
      <c r="C33" s="3">
        <v>388581.95</v>
      </c>
      <c r="D33" s="3"/>
      <c r="E33" s="4">
        <f t="shared" si="1"/>
        <v>839965.61</v>
      </c>
      <c r="F33" s="3"/>
      <c r="G33" s="6"/>
    </row>
    <row r="34">
      <c r="A34" s="11">
        <v>46072.0</v>
      </c>
      <c r="B34" s="1" t="s">
        <v>84</v>
      </c>
      <c r="C34" s="3">
        <v>146751.79</v>
      </c>
      <c r="D34" s="3"/>
      <c r="E34" s="4">
        <f t="shared" si="1"/>
        <v>693213.82</v>
      </c>
      <c r="F34" s="3"/>
      <c r="G34" s="6"/>
    </row>
    <row r="35">
      <c r="A35" s="11">
        <v>46072.0</v>
      </c>
      <c r="B35" s="1" t="s">
        <v>11</v>
      </c>
      <c r="C35" s="3"/>
      <c r="D35" s="3">
        <v>30000.0</v>
      </c>
      <c r="E35" s="4">
        <f t="shared" si="1"/>
        <v>723213.82</v>
      </c>
      <c r="F35" s="3"/>
      <c r="G35" s="6"/>
    </row>
    <row r="36">
      <c r="A36" s="11">
        <v>46072.0</v>
      </c>
      <c r="B36" s="1" t="s">
        <v>85</v>
      </c>
      <c r="C36" s="3">
        <v>718613.0</v>
      </c>
      <c r="D36" s="3"/>
      <c r="E36" s="4">
        <f t="shared" si="1"/>
        <v>4600.82</v>
      </c>
      <c r="F36" s="3"/>
      <c r="G36" s="6"/>
    </row>
    <row r="37">
      <c r="A37" s="11">
        <v>46076.0</v>
      </c>
      <c r="B37" s="15" t="s">
        <v>11</v>
      </c>
      <c r="C37" s="17"/>
      <c r="D37" s="3">
        <v>70000.0</v>
      </c>
      <c r="E37" s="4">
        <f t="shared" si="1"/>
        <v>74600.82</v>
      </c>
      <c r="F37" s="3"/>
      <c r="G37" s="6"/>
    </row>
    <row r="38">
      <c r="A38" s="11">
        <v>46078.0</v>
      </c>
      <c r="B38" s="15" t="s">
        <v>86</v>
      </c>
      <c r="C38" s="16">
        <v>24859.82</v>
      </c>
      <c r="D38" s="3"/>
      <c r="E38" s="4">
        <f t="shared" si="1"/>
        <v>49741</v>
      </c>
      <c r="F38" s="3"/>
      <c r="G38" s="6"/>
    </row>
    <row r="39">
      <c r="A39" s="11">
        <v>46078.0</v>
      </c>
      <c r="B39" s="15" t="s">
        <v>87</v>
      </c>
      <c r="C39" s="16">
        <v>43280.08</v>
      </c>
      <c r="D39" s="3"/>
      <c r="E39" s="4">
        <f t="shared" si="1"/>
        <v>6460.92</v>
      </c>
      <c r="F39" s="3"/>
      <c r="G39" s="6"/>
    </row>
    <row r="40">
      <c r="A40" s="11">
        <v>46078.0</v>
      </c>
      <c r="B40" s="1" t="s">
        <v>88</v>
      </c>
      <c r="C40" s="3"/>
      <c r="D40" s="3">
        <v>72485.58</v>
      </c>
      <c r="E40" s="4">
        <f t="shared" si="1"/>
        <v>78946.5</v>
      </c>
      <c r="F40" s="3"/>
      <c r="G40" s="6"/>
    </row>
    <row r="41">
      <c r="A41" s="11">
        <v>46080.0</v>
      </c>
      <c r="B41" s="1" t="s">
        <v>89</v>
      </c>
      <c r="C41" s="3"/>
      <c r="D41" s="3">
        <v>977810.51</v>
      </c>
      <c r="E41" s="4">
        <f t="shared" si="1"/>
        <v>1056757.01</v>
      </c>
      <c r="F41" s="3"/>
      <c r="G41" s="6"/>
    </row>
    <row r="42">
      <c r="A42" s="11">
        <v>46080.0</v>
      </c>
      <c r="B42" s="1" t="s">
        <v>90</v>
      </c>
      <c r="C42" s="3"/>
      <c r="D42" s="3">
        <v>60000.0</v>
      </c>
      <c r="E42" s="4">
        <f t="shared" si="1"/>
        <v>1116757.01</v>
      </c>
      <c r="F42" s="3"/>
      <c r="G42" s="6"/>
    </row>
    <row r="43">
      <c r="A43" s="11">
        <v>46080.0</v>
      </c>
      <c r="B43" s="1" t="s">
        <v>80</v>
      </c>
      <c r="C43" s="3"/>
      <c r="D43" s="3">
        <v>3354773.7</v>
      </c>
      <c r="E43" s="4">
        <f t="shared" si="1"/>
        <v>4471530.71</v>
      </c>
      <c r="F43" s="3"/>
      <c r="G43" s="6"/>
    </row>
    <row r="44">
      <c r="A44" s="11">
        <v>46082.0</v>
      </c>
      <c r="B44" s="1" t="s">
        <v>23</v>
      </c>
      <c r="C44" s="3">
        <v>100000.0</v>
      </c>
      <c r="D44" s="3"/>
      <c r="E44" s="4">
        <f t="shared" si="1"/>
        <v>4371530.71</v>
      </c>
      <c r="F44" s="3"/>
      <c r="G44" s="6"/>
    </row>
    <row r="45">
      <c r="A45" s="11">
        <v>46082.0</v>
      </c>
      <c r="B45" s="1" t="s">
        <v>91</v>
      </c>
      <c r="C45" s="3">
        <v>351228.95</v>
      </c>
      <c r="D45" s="3"/>
      <c r="E45" s="4">
        <f t="shared" si="1"/>
        <v>4020301.76</v>
      </c>
      <c r="F45" s="3"/>
      <c r="G45" s="6"/>
    </row>
    <row r="46">
      <c r="A46" s="11">
        <v>46083.0</v>
      </c>
      <c r="B46" s="1" t="s">
        <v>72</v>
      </c>
      <c r="C46" s="3">
        <v>1200000.0</v>
      </c>
      <c r="D46" s="3"/>
      <c r="E46" s="4">
        <f t="shared" si="1"/>
        <v>2820301.76</v>
      </c>
      <c r="F46" s="3"/>
      <c r="G46" s="6"/>
    </row>
    <row r="47">
      <c r="A47" s="11">
        <v>46083.0</v>
      </c>
      <c r="B47" s="1" t="s">
        <v>69</v>
      </c>
      <c r="C47" s="3"/>
      <c r="D47" s="3">
        <v>1120000.0</v>
      </c>
      <c r="E47" s="4">
        <f t="shared" si="1"/>
        <v>3940301.76</v>
      </c>
      <c r="F47" s="3" t="s">
        <v>92</v>
      </c>
      <c r="G47" s="6"/>
    </row>
    <row r="48">
      <c r="A48" s="11">
        <v>46086.0</v>
      </c>
      <c r="B48" s="1" t="s">
        <v>71</v>
      </c>
      <c r="C48" s="3">
        <v>3006014.75</v>
      </c>
      <c r="D48" s="3"/>
      <c r="E48" s="4">
        <f t="shared" si="1"/>
        <v>934287.01</v>
      </c>
      <c r="F48" s="3"/>
      <c r="G48" s="6"/>
    </row>
    <row r="49">
      <c r="A49" s="11">
        <v>46087.0</v>
      </c>
      <c r="B49" s="1" t="s">
        <v>93</v>
      </c>
      <c r="C49" s="3"/>
      <c r="D49" s="3">
        <v>10800.0</v>
      </c>
      <c r="E49" s="4">
        <f t="shared" si="1"/>
        <v>945087.01</v>
      </c>
      <c r="F49" s="3"/>
      <c r="G49" s="6"/>
    </row>
    <row r="50">
      <c r="A50" s="11">
        <v>46090.0</v>
      </c>
      <c r="B50" s="1" t="s">
        <v>11</v>
      </c>
      <c r="C50" s="3"/>
      <c r="D50" s="3">
        <v>5000.0</v>
      </c>
      <c r="E50" s="4">
        <f t="shared" si="1"/>
        <v>950087.01</v>
      </c>
      <c r="F50" s="3"/>
      <c r="G50" s="6"/>
    </row>
    <row r="51">
      <c r="A51" s="11">
        <v>46091.0</v>
      </c>
      <c r="B51" s="1" t="s">
        <v>85</v>
      </c>
      <c r="C51" s="3">
        <v>862593.0</v>
      </c>
      <c r="D51" s="3"/>
      <c r="E51" s="4">
        <f t="shared" si="1"/>
        <v>87494.01</v>
      </c>
      <c r="F51" s="3"/>
      <c r="G51" s="6"/>
    </row>
    <row r="52">
      <c r="A52" s="11">
        <v>46091.0</v>
      </c>
      <c r="B52" s="15" t="s">
        <v>94</v>
      </c>
      <c r="C52" s="17">
        <v>17645.54</v>
      </c>
      <c r="D52" s="3"/>
      <c r="E52" s="4">
        <f t="shared" si="1"/>
        <v>69848.47</v>
      </c>
      <c r="F52" s="3"/>
      <c r="G52" s="6"/>
    </row>
    <row r="53">
      <c r="A53" s="11">
        <v>46091.0</v>
      </c>
      <c r="B53" s="15" t="s">
        <v>95</v>
      </c>
      <c r="C53" s="17">
        <v>24409.86</v>
      </c>
      <c r="D53" s="3"/>
      <c r="E53" s="4">
        <f t="shared" si="1"/>
        <v>45438.61</v>
      </c>
      <c r="F53" s="3"/>
      <c r="G53" s="6"/>
    </row>
    <row r="54">
      <c r="A54" s="11">
        <v>46091.0</v>
      </c>
      <c r="B54" s="15" t="s">
        <v>96</v>
      </c>
      <c r="C54" s="17">
        <v>42496.72</v>
      </c>
      <c r="D54" s="3"/>
      <c r="E54" s="4">
        <f t="shared" si="1"/>
        <v>2941.89</v>
      </c>
      <c r="F54" s="3"/>
      <c r="G54" s="6"/>
    </row>
    <row r="55">
      <c r="A55" s="11">
        <v>46097.0</v>
      </c>
      <c r="B55" s="1" t="s">
        <v>79</v>
      </c>
      <c r="C55" s="3"/>
      <c r="D55" s="3">
        <v>1305000.0</v>
      </c>
      <c r="E55" s="4">
        <f t="shared" si="1"/>
        <v>1307941.89</v>
      </c>
      <c r="F55" s="3"/>
      <c r="G55" s="6"/>
    </row>
    <row r="56">
      <c r="A56" s="11">
        <v>46098.0</v>
      </c>
      <c r="B56" s="1" t="s">
        <v>70</v>
      </c>
      <c r="C56" s="3"/>
      <c r="D56" s="3">
        <v>1220000.0</v>
      </c>
      <c r="E56" s="4">
        <f t="shared" si="1"/>
        <v>2527941.89</v>
      </c>
      <c r="F56" s="3"/>
      <c r="G56" s="6"/>
    </row>
    <row r="57">
      <c r="A57" s="11">
        <v>46098.0</v>
      </c>
      <c r="B57" s="1" t="s">
        <v>97</v>
      </c>
      <c r="C57" s="3">
        <v>433195.56</v>
      </c>
      <c r="D57" s="3"/>
      <c r="E57" s="4">
        <f t="shared" si="1"/>
        <v>2094746.33</v>
      </c>
      <c r="F57" s="3"/>
      <c r="G57" s="6"/>
    </row>
    <row r="58">
      <c r="A58" s="11">
        <v>46098.0</v>
      </c>
      <c r="B58" s="1" t="s">
        <v>97</v>
      </c>
      <c r="C58" s="3">
        <v>1949380.02</v>
      </c>
      <c r="D58" s="3"/>
      <c r="E58" s="4">
        <f t="shared" si="1"/>
        <v>145366.31</v>
      </c>
      <c r="F58" s="3"/>
      <c r="G58" s="6"/>
    </row>
    <row r="59">
      <c r="A59" s="11">
        <v>46098.0</v>
      </c>
      <c r="B59" s="1" t="s">
        <v>23</v>
      </c>
      <c r="C59" s="3">
        <v>145000.0</v>
      </c>
      <c r="D59" s="3"/>
      <c r="E59" s="4">
        <f t="shared" si="1"/>
        <v>366.31</v>
      </c>
      <c r="F59" s="3"/>
      <c r="G59" s="6"/>
    </row>
    <row r="60">
      <c r="A60" s="11">
        <v>46101.0</v>
      </c>
      <c r="B60" s="1" t="s">
        <v>98</v>
      </c>
      <c r="C60" s="3"/>
      <c r="D60" s="3">
        <v>70000.0</v>
      </c>
      <c r="E60" s="4">
        <f t="shared" si="1"/>
        <v>70366.31</v>
      </c>
      <c r="F60" s="3"/>
      <c r="G60" s="6"/>
    </row>
    <row r="61">
      <c r="A61" s="11">
        <v>46112.0</v>
      </c>
      <c r="B61" s="1" t="s">
        <v>80</v>
      </c>
      <c r="C61" s="3"/>
      <c r="D61" s="3">
        <v>2363259.13</v>
      </c>
      <c r="E61" s="4">
        <f t="shared" si="1"/>
        <v>2433625.44</v>
      </c>
      <c r="F61" s="3"/>
      <c r="G61" s="6"/>
    </row>
    <row r="62">
      <c r="A62" s="11">
        <v>46113.0</v>
      </c>
      <c r="B62" s="1" t="s">
        <v>69</v>
      </c>
      <c r="C62" s="3"/>
      <c r="D62" s="3">
        <v>1175000.0</v>
      </c>
      <c r="E62" s="4">
        <f t="shared" si="1"/>
        <v>3608625.44</v>
      </c>
      <c r="F62" s="3"/>
      <c r="G62" s="6"/>
    </row>
    <row r="63">
      <c r="A63" s="11">
        <v>46118.0</v>
      </c>
      <c r="B63" s="1" t="s">
        <v>71</v>
      </c>
      <c r="C63" s="3">
        <v>3293303.91</v>
      </c>
      <c r="D63" s="3"/>
      <c r="E63" s="4">
        <f t="shared" si="1"/>
        <v>315321.53</v>
      </c>
      <c r="F63" s="3"/>
      <c r="G63" s="6"/>
    </row>
    <row r="64">
      <c r="A64" s="11">
        <v>46119.0</v>
      </c>
      <c r="B64" s="1" t="s">
        <v>11</v>
      </c>
      <c r="C64" s="3"/>
      <c r="D64" s="3">
        <v>1010000.0</v>
      </c>
      <c r="E64" s="4">
        <f t="shared" si="1"/>
        <v>1325321.53</v>
      </c>
      <c r="F64" s="3"/>
      <c r="G64" s="6"/>
    </row>
    <row r="65">
      <c r="A65" s="11">
        <v>46120.0</v>
      </c>
      <c r="B65" s="1" t="s">
        <v>72</v>
      </c>
      <c r="C65" s="3">
        <v>400000.0</v>
      </c>
      <c r="D65" s="3"/>
      <c r="E65" s="4">
        <f t="shared" si="1"/>
        <v>925321.53</v>
      </c>
      <c r="F65" s="3"/>
      <c r="G65" s="6"/>
    </row>
    <row r="66">
      <c r="A66" s="11">
        <v>46125.0</v>
      </c>
      <c r="B66" s="1" t="s">
        <v>85</v>
      </c>
      <c r="C66" s="3">
        <v>922093.0</v>
      </c>
      <c r="D66" s="3"/>
      <c r="E66" s="4">
        <f t="shared" si="1"/>
        <v>3228.53</v>
      </c>
      <c r="F66" s="3"/>
      <c r="G66" s="6"/>
    </row>
    <row r="67">
      <c r="A67" s="11">
        <v>46125.0</v>
      </c>
      <c r="B67" s="1" t="s">
        <v>99</v>
      </c>
      <c r="C67" s="3"/>
      <c r="D67" s="3">
        <v>9205.5</v>
      </c>
      <c r="E67" s="4">
        <f t="shared" si="1"/>
        <v>12434.03</v>
      </c>
      <c r="F67" s="3"/>
      <c r="G67" s="6"/>
    </row>
    <row r="68">
      <c r="A68" s="11">
        <v>46126.0</v>
      </c>
      <c r="B68" s="1" t="s">
        <v>79</v>
      </c>
      <c r="C68" s="3"/>
      <c r="D68" s="3">
        <v>1035000.0</v>
      </c>
      <c r="E68" s="4">
        <f t="shared" si="1"/>
        <v>1047434.03</v>
      </c>
      <c r="F68" s="3"/>
      <c r="G68" s="6"/>
    </row>
    <row r="69">
      <c r="A69" s="11">
        <v>46127.0</v>
      </c>
      <c r="B69" s="1" t="s">
        <v>100</v>
      </c>
      <c r="C69" s="3">
        <v>1000000.0</v>
      </c>
      <c r="D69" s="3"/>
      <c r="E69" s="4">
        <f t="shared" si="1"/>
        <v>47434.03</v>
      </c>
      <c r="F69" s="3"/>
      <c r="G69" s="6"/>
    </row>
    <row r="70">
      <c r="A70" s="11"/>
      <c r="B70" s="1"/>
      <c r="C70" s="3"/>
      <c r="D70" s="3"/>
      <c r="E70" s="4"/>
      <c r="F70" s="3"/>
      <c r="G70" s="6"/>
    </row>
    <row r="71">
      <c r="A71" s="11"/>
      <c r="B71" s="1"/>
      <c r="C71" s="3"/>
      <c r="D71" s="3"/>
      <c r="E71" s="4"/>
      <c r="F71" s="3"/>
      <c r="G71" s="6"/>
    </row>
    <row r="72">
      <c r="A72" s="11"/>
      <c r="B72" s="1"/>
      <c r="C72" s="3"/>
      <c r="D72" s="3"/>
      <c r="E72" s="4"/>
      <c r="F72" s="3"/>
      <c r="G72" s="6"/>
    </row>
    <row r="73">
      <c r="A73" s="11"/>
      <c r="B73" s="1"/>
      <c r="C73" s="3"/>
      <c r="D73" s="3"/>
      <c r="E73" s="4"/>
      <c r="F73" s="3"/>
      <c r="G73" s="6"/>
    </row>
    <row r="74">
      <c r="A74" s="11"/>
      <c r="B74" s="1"/>
      <c r="C74" s="3"/>
      <c r="D74" s="3"/>
      <c r="E74" s="4"/>
      <c r="F74" s="3"/>
      <c r="G74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cols>
    <col customWidth="1" min="2" max="2" width="43.14"/>
    <col customWidth="1" min="4" max="4" width="19.29"/>
    <col customWidth="1" min="6" max="6" width="5.14"/>
  </cols>
  <sheetData>
    <row r="1">
      <c r="A1" s="7">
        <v>46023.0</v>
      </c>
      <c r="B1" s="1" t="s">
        <v>101</v>
      </c>
      <c r="C1" s="9">
        <v>15312.8</v>
      </c>
      <c r="D1" s="9"/>
      <c r="E1" s="3">
        <v>11885.85</v>
      </c>
      <c r="J1" s="6"/>
    </row>
    <row r="2">
      <c r="A2" s="7">
        <v>46023.0</v>
      </c>
      <c r="B2" s="1" t="s">
        <v>102</v>
      </c>
      <c r="C2" s="9"/>
      <c r="D2" s="9"/>
      <c r="E2" s="4">
        <f t="shared" ref="E2:E227" si="1">E1+D2-C2</f>
        <v>11885.85</v>
      </c>
      <c r="J2" s="6"/>
    </row>
    <row r="3">
      <c r="A3" s="7">
        <v>46023.0</v>
      </c>
      <c r="B3" s="1" t="s">
        <v>103</v>
      </c>
      <c r="C3" s="9"/>
      <c r="D3" s="9"/>
      <c r="E3" s="4">
        <f t="shared" si="1"/>
        <v>11885.85</v>
      </c>
      <c r="J3" s="6"/>
    </row>
    <row r="4">
      <c r="A4" s="7">
        <v>46024.0</v>
      </c>
      <c r="B4" s="1" t="s">
        <v>104</v>
      </c>
      <c r="C4" s="9"/>
      <c r="D4" s="9">
        <v>630000.0</v>
      </c>
      <c r="E4" s="4">
        <f t="shared" si="1"/>
        <v>641885.85</v>
      </c>
      <c r="I4" s="9"/>
      <c r="J4" s="6"/>
    </row>
    <row r="5">
      <c r="A5" s="7">
        <v>46024.0</v>
      </c>
      <c r="B5" s="1" t="s">
        <v>105</v>
      </c>
      <c r="C5" s="9"/>
      <c r="D5" s="9">
        <v>330000.0</v>
      </c>
      <c r="E5" s="4">
        <f t="shared" si="1"/>
        <v>971885.85</v>
      </c>
      <c r="J5" s="6"/>
    </row>
    <row r="6">
      <c r="A6" s="18">
        <v>46026.0</v>
      </c>
      <c r="B6" s="1" t="s">
        <v>106</v>
      </c>
      <c r="C6" s="9">
        <v>125000.0</v>
      </c>
      <c r="D6" s="9"/>
      <c r="E6" s="4">
        <f t="shared" si="1"/>
        <v>846885.85</v>
      </c>
      <c r="J6" s="6"/>
    </row>
    <row r="7">
      <c r="A7" s="7">
        <v>46027.0</v>
      </c>
      <c r="B7" s="1" t="s">
        <v>107</v>
      </c>
      <c r="C7" s="9">
        <v>33384.0</v>
      </c>
      <c r="D7" s="9"/>
      <c r="E7" s="4">
        <f t="shared" si="1"/>
        <v>813501.85</v>
      </c>
      <c r="J7" s="6"/>
    </row>
    <row r="8">
      <c r="A8" s="7">
        <v>46027.0</v>
      </c>
      <c r="B8" s="1" t="s">
        <v>108</v>
      </c>
      <c r="C8" s="9"/>
      <c r="D8" s="9">
        <v>22491.0</v>
      </c>
      <c r="E8" s="4">
        <f t="shared" si="1"/>
        <v>835992.85</v>
      </c>
      <c r="J8" s="6"/>
    </row>
    <row r="9">
      <c r="A9" s="7">
        <v>46027.0</v>
      </c>
      <c r="B9" s="1" t="s">
        <v>109</v>
      </c>
      <c r="C9" s="9">
        <v>125000.0</v>
      </c>
      <c r="D9" s="9"/>
      <c r="E9" s="4">
        <f t="shared" si="1"/>
        <v>710992.85</v>
      </c>
      <c r="J9" s="6"/>
    </row>
    <row r="10">
      <c r="A10" s="7">
        <v>46028.0</v>
      </c>
      <c r="B10" s="1" t="s">
        <v>110</v>
      </c>
      <c r="C10" s="9">
        <v>10000.0</v>
      </c>
      <c r="D10" s="9"/>
      <c r="E10" s="4">
        <f t="shared" si="1"/>
        <v>700992.85</v>
      </c>
      <c r="J10" s="6"/>
    </row>
    <row r="11">
      <c r="A11" s="7">
        <v>46028.0</v>
      </c>
      <c r="B11" s="1" t="s">
        <v>111</v>
      </c>
      <c r="C11" s="9">
        <v>3290.0</v>
      </c>
      <c r="D11" s="9"/>
      <c r="E11" s="4">
        <f t="shared" si="1"/>
        <v>697702.85</v>
      </c>
      <c r="J11" s="6"/>
    </row>
    <row r="12">
      <c r="A12" s="7">
        <v>46028.0</v>
      </c>
      <c r="B12" s="1" t="s">
        <v>112</v>
      </c>
      <c r="C12" s="9">
        <v>69900.0</v>
      </c>
      <c r="D12" s="9"/>
      <c r="E12" s="4">
        <f t="shared" si="1"/>
        <v>627802.85</v>
      </c>
      <c r="J12" s="6"/>
    </row>
    <row r="13">
      <c r="A13" s="7">
        <v>46027.0</v>
      </c>
      <c r="B13" s="1" t="s">
        <v>113</v>
      </c>
      <c r="C13" s="9"/>
      <c r="D13" s="9"/>
      <c r="E13" s="4">
        <f t="shared" si="1"/>
        <v>627802.85</v>
      </c>
      <c r="J13" s="6"/>
    </row>
    <row r="14">
      <c r="A14" s="7">
        <v>46028.0</v>
      </c>
      <c r="B14" s="1" t="s">
        <v>114</v>
      </c>
      <c r="C14" s="9"/>
      <c r="D14" s="9"/>
      <c r="E14" s="4">
        <f t="shared" si="1"/>
        <v>627802.85</v>
      </c>
      <c r="J14" s="6"/>
    </row>
    <row r="15">
      <c r="A15" s="7">
        <v>46028.0</v>
      </c>
      <c r="B15" s="1" t="s">
        <v>115</v>
      </c>
      <c r="C15" s="9">
        <v>85721.64</v>
      </c>
      <c r="D15" s="9"/>
      <c r="E15" s="4">
        <f t="shared" si="1"/>
        <v>542081.21</v>
      </c>
      <c r="J15" s="6"/>
    </row>
    <row r="16">
      <c r="A16" s="7">
        <v>46028.0</v>
      </c>
      <c r="B16" s="1" t="s">
        <v>116</v>
      </c>
      <c r="C16" s="9"/>
      <c r="D16" s="9"/>
      <c r="E16" s="4">
        <f t="shared" si="1"/>
        <v>542081.21</v>
      </c>
      <c r="J16" s="6"/>
    </row>
    <row r="17">
      <c r="A17" s="7">
        <v>46028.0</v>
      </c>
      <c r="B17" s="1" t="s">
        <v>117</v>
      </c>
      <c r="C17" s="9"/>
      <c r="D17" s="9"/>
      <c r="E17" s="4">
        <f t="shared" si="1"/>
        <v>542081.21</v>
      </c>
      <c r="J17" s="6"/>
    </row>
    <row r="18">
      <c r="A18" s="7">
        <v>46028.0</v>
      </c>
      <c r="B18" s="1" t="s">
        <v>118</v>
      </c>
      <c r="C18" s="9">
        <v>19800.0</v>
      </c>
      <c r="D18" s="9"/>
      <c r="E18" s="4">
        <f t="shared" si="1"/>
        <v>522281.21</v>
      </c>
      <c r="J18" s="6"/>
    </row>
    <row r="19">
      <c r="A19" s="7">
        <v>46029.0</v>
      </c>
      <c r="B19" s="1" t="s">
        <v>119</v>
      </c>
      <c r="C19" s="9">
        <v>38400.0</v>
      </c>
      <c r="D19" s="9"/>
      <c r="E19" s="4">
        <f t="shared" si="1"/>
        <v>483881.21</v>
      </c>
      <c r="J19" s="6"/>
    </row>
    <row r="20">
      <c r="A20" s="7">
        <v>46029.0</v>
      </c>
      <c r="B20" s="1" t="s">
        <v>120</v>
      </c>
      <c r="C20" s="9">
        <v>5000.0</v>
      </c>
      <c r="D20" s="9"/>
      <c r="E20" s="4">
        <f t="shared" si="1"/>
        <v>478881.21</v>
      </c>
      <c r="J20" s="6"/>
    </row>
    <row r="21">
      <c r="A21" s="7">
        <v>46029.0</v>
      </c>
      <c r="B21" s="1" t="s">
        <v>121</v>
      </c>
      <c r="C21" s="9">
        <v>50000.0</v>
      </c>
      <c r="D21" s="9"/>
      <c r="E21" s="4">
        <f t="shared" si="1"/>
        <v>428881.21</v>
      </c>
      <c r="J21" s="6"/>
    </row>
    <row r="22">
      <c r="A22" s="7">
        <v>46029.0</v>
      </c>
      <c r="B22" s="1" t="s">
        <v>122</v>
      </c>
      <c r="C22" s="9">
        <v>8398.0</v>
      </c>
      <c r="D22" s="9"/>
      <c r="E22" s="4">
        <f t="shared" si="1"/>
        <v>420483.21</v>
      </c>
      <c r="J22" s="6"/>
    </row>
    <row r="23">
      <c r="A23" s="7">
        <v>46030.0</v>
      </c>
      <c r="B23" s="1" t="s">
        <v>123</v>
      </c>
      <c r="C23" s="9"/>
      <c r="D23" s="9">
        <v>1200000.0</v>
      </c>
      <c r="E23" s="4">
        <f t="shared" si="1"/>
        <v>1620483.21</v>
      </c>
      <c r="J23" s="6"/>
    </row>
    <row r="24">
      <c r="A24" s="7">
        <v>46030.0</v>
      </c>
      <c r="B24" s="1" t="s">
        <v>57</v>
      </c>
      <c r="C24" s="9"/>
      <c r="D24" s="9">
        <v>400000.0</v>
      </c>
      <c r="E24" s="4">
        <f t="shared" si="1"/>
        <v>2020483.21</v>
      </c>
      <c r="J24" s="6"/>
    </row>
    <row r="25">
      <c r="A25" s="7">
        <v>46030.0</v>
      </c>
      <c r="B25" s="1" t="s">
        <v>124</v>
      </c>
      <c r="C25" s="9">
        <v>1953778.0</v>
      </c>
      <c r="D25" s="9"/>
      <c r="E25" s="4">
        <f t="shared" si="1"/>
        <v>66705.21</v>
      </c>
      <c r="J25" s="6"/>
    </row>
    <row r="26">
      <c r="A26" s="7">
        <v>46034.0</v>
      </c>
      <c r="B26" s="1" t="s">
        <v>125</v>
      </c>
      <c r="C26" s="9"/>
      <c r="D26" s="9"/>
      <c r="E26" s="4">
        <f t="shared" si="1"/>
        <v>66705.21</v>
      </c>
      <c r="J26" s="6"/>
    </row>
    <row r="27">
      <c r="A27" s="7">
        <v>46030.0</v>
      </c>
      <c r="B27" s="1" t="s">
        <v>100</v>
      </c>
      <c r="C27" s="9">
        <v>10000.0</v>
      </c>
      <c r="D27" s="9"/>
      <c r="E27" s="4">
        <f t="shared" si="1"/>
        <v>56705.21</v>
      </c>
      <c r="J27" s="6"/>
    </row>
    <row r="28">
      <c r="A28" s="7">
        <v>46031.0</v>
      </c>
      <c r="B28" s="1" t="s">
        <v>126</v>
      </c>
      <c r="C28" s="9"/>
      <c r="D28" s="9"/>
      <c r="E28" s="4">
        <f t="shared" si="1"/>
        <v>56705.21</v>
      </c>
      <c r="J28" s="6"/>
    </row>
    <row r="29">
      <c r="A29" s="7">
        <v>46034.0</v>
      </c>
      <c r="B29" s="1" t="s">
        <v>127</v>
      </c>
      <c r="C29" s="9"/>
      <c r="D29" s="9">
        <v>78748.5</v>
      </c>
      <c r="E29" s="4">
        <f t="shared" si="1"/>
        <v>135453.71</v>
      </c>
      <c r="J29" s="6"/>
    </row>
    <row r="30">
      <c r="A30" s="7">
        <v>46034.0</v>
      </c>
      <c r="B30" s="1" t="s">
        <v>128</v>
      </c>
      <c r="C30" s="9">
        <v>108000.0</v>
      </c>
      <c r="D30" s="9"/>
      <c r="E30" s="4">
        <f t="shared" si="1"/>
        <v>27453.71</v>
      </c>
      <c r="J30" s="6"/>
    </row>
    <row r="31">
      <c r="A31" s="7">
        <v>46035.0</v>
      </c>
      <c r="B31" s="1" t="s">
        <v>108</v>
      </c>
      <c r="C31" s="9"/>
      <c r="D31" s="9">
        <v>16500.0</v>
      </c>
      <c r="E31" s="4">
        <f t="shared" si="1"/>
        <v>43953.71</v>
      </c>
      <c r="J31" s="6"/>
    </row>
    <row r="32">
      <c r="A32" s="7">
        <v>46035.0</v>
      </c>
      <c r="B32" s="1" t="s">
        <v>129</v>
      </c>
      <c r="C32" s="9"/>
      <c r="D32" s="9"/>
      <c r="E32" s="4">
        <f t="shared" si="1"/>
        <v>43953.71</v>
      </c>
      <c r="J32" s="6"/>
    </row>
    <row r="33">
      <c r="A33" s="7">
        <v>46037.0</v>
      </c>
      <c r="B33" s="1" t="s">
        <v>57</v>
      </c>
      <c r="C33" s="9"/>
      <c r="D33" s="9">
        <v>100000.0</v>
      </c>
      <c r="E33" s="4">
        <f t="shared" si="1"/>
        <v>143953.71</v>
      </c>
      <c r="J33" s="6"/>
    </row>
    <row r="34">
      <c r="A34" s="7">
        <v>46038.0</v>
      </c>
      <c r="B34" s="1" t="s">
        <v>130</v>
      </c>
      <c r="C34" s="9"/>
      <c r="D34" s="9"/>
      <c r="E34" s="4">
        <f t="shared" si="1"/>
        <v>143953.71</v>
      </c>
      <c r="J34" s="6"/>
    </row>
    <row r="35">
      <c r="A35" s="7">
        <v>46041.0</v>
      </c>
      <c r="B35" s="1" t="s">
        <v>131</v>
      </c>
      <c r="C35" s="9">
        <v>15000.0</v>
      </c>
      <c r="D35" s="9"/>
      <c r="E35" s="4">
        <f t="shared" si="1"/>
        <v>128953.71</v>
      </c>
      <c r="J35" s="6"/>
    </row>
    <row r="36">
      <c r="A36" s="7">
        <v>46042.0</v>
      </c>
      <c r="B36" s="1" t="s">
        <v>120</v>
      </c>
      <c r="C36" s="9">
        <v>5000.0</v>
      </c>
      <c r="D36" s="9"/>
      <c r="E36" s="4">
        <f t="shared" si="1"/>
        <v>123953.71</v>
      </c>
      <c r="J36" s="6"/>
    </row>
    <row r="37">
      <c r="A37" s="7">
        <v>46042.0</v>
      </c>
      <c r="B37" s="1" t="s">
        <v>132</v>
      </c>
      <c r="C37" s="9">
        <v>43000.0</v>
      </c>
      <c r="D37" s="9"/>
      <c r="E37" s="4">
        <f t="shared" si="1"/>
        <v>80953.71</v>
      </c>
      <c r="J37" s="6"/>
    </row>
    <row r="38">
      <c r="A38" s="7">
        <v>46043.0</v>
      </c>
      <c r="B38" s="1" t="s">
        <v>133</v>
      </c>
      <c r="C38" s="9">
        <v>84290.72</v>
      </c>
      <c r="D38" s="9"/>
      <c r="E38" s="4">
        <f t="shared" si="1"/>
        <v>-3337.01</v>
      </c>
      <c r="J38" s="6"/>
    </row>
    <row r="39">
      <c r="A39" s="7">
        <v>46043.0</v>
      </c>
      <c r="B39" s="1" t="s">
        <v>134</v>
      </c>
      <c r="C39" s="9">
        <v>22307.22</v>
      </c>
      <c r="D39" s="9"/>
      <c r="E39" s="4">
        <f t="shared" si="1"/>
        <v>-25644.23</v>
      </c>
      <c r="J39" s="6"/>
    </row>
    <row r="40">
      <c r="A40" s="7">
        <v>46043.0</v>
      </c>
      <c r="B40" s="1" t="s">
        <v>135</v>
      </c>
      <c r="C40" s="9">
        <v>13807.79</v>
      </c>
      <c r="D40" s="9"/>
      <c r="E40" s="4">
        <f t="shared" si="1"/>
        <v>-39452.02</v>
      </c>
      <c r="J40" s="6"/>
    </row>
    <row r="41">
      <c r="A41" s="7">
        <v>46043.0</v>
      </c>
      <c r="B41" s="1" t="s">
        <v>70</v>
      </c>
      <c r="C41" s="9"/>
      <c r="D41" s="9">
        <v>300000.0</v>
      </c>
      <c r="E41" s="4">
        <f t="shared" si="1"/>
        <v>260547.98</v>
      </c>
      <c r="J41" s="6"/>
    </row>
    <row r="42">
      <c r="A42" s="7">
        <v>46044.0</v>
      </c>
      <c r="B42" s="1" t="s">
        <v>136</v>
      </c>
      <c r="C42" s="9">
        <v>8100.0</v>
      </c>
      <c r="D42" s="9"/>
      <c r="E42" s="4">
        <f t="shared" si="1"/>
        <v>252447.98</v>
      </c>
      <c r="J42" s="6"/>
    </row>
    <row r="43">
      <c r="A43" s="7">
        <v>46047.0</v>
      </c>
      <c r="B43" s="1" t="s">
        <v>137</v>
      </c>
      <c r="C43" s="9"/>
      <c r="D43" s="9">
        <v>20000.0</v>
      </c>
      <c r="E43" s="4">
        <f t="shared" si="1"/>
        <v>272447.98</v>
      </c>
      <c r="J43" s="6"/>
    </row>
    <row r="44">
      <c r="A44" s="7">
        <v>46048.0</v>
      </c>
      <c r="B44" s="1" t="s">
        <v>70</v>
      </c>
      <c r="C44" s="9"/>
      <c r="D44" s="9">
        <v>300000.0</v>
      </c>
      <c r="E44" s="4">
        <f t="shared" si="1"/>
        <v>572447.98</v>
      </c>
      <c r="J44" s="6"/>
    </row>
    <row r="45">
      <c r="A45" s="7">
        <v>46049.0</v>
      </c>
      <c r="B45" s="1" t="s">
        <v>138</v>
      </c>
      <c r="C45" s="9">
        <v>71546.93</v>
      </c>
      <c r="D45" s="9"/>
      <c r="E45" s="4">
        <f t="shared" si="1"/>
        <v>500901.05</v>
      </c>
      <c r="J45" s="6"/>
    </row>
    <row r="46">
      <c r="A46" s="7">
        <v>46049.0</v>
      </c>
      <c r="B46" s="1" t="s">
        <v>139</v>
      </c>
      <c r="C46" s="9"/>
      <c r="D46" s="9">
        <v>40000.0</v>
      </c>
      <c r="E46" s="4">
        <f t="shared" si="1"/>
        <v>540901.05</v>
      </c>
      <c r="J46" s="6"/>
    </row>
    <row r="47">
      <c r="A47" s="7">
        <v>46052.0</v>
      </c>
      <c r="B47" s="1" t="s">
        <v>140</v>
      </c>
      <c r="C47" s="9">
        <v>67689.39</v>
      </c>
      <c r="D47" s="9"/>
      <c r="E47" s="4">
        <f t="shared" si="1"/>
        <v>473211.66</v>
      </c>
      <c r="J47" s="6"/>
    </row>
    <row r="48">
      <c r="A48" s="7">
        <v>46056.0</v>
      </c>
      <c r="B48" s="1" t="s">
        <v>141</v>
      </c>
      <c r="C48" s="9"/>
      <c r="D48" s="9"/>
      <c r="E48" s="4">
        <f t="shared" si="1"/>
        <v>473211.66</v>
      </c>
      <c r="J48" s="6"/>
    </row>
    <row r="49">
      <c r="A49" s="7">
        <v>46056.0</v>
      </c>
      <c r="B49" s="1" t="s">
        <v>115</v>
      </c>
      <c r="C49" s="9">
        <v>87838.96</v>
      </c>
      <c r="D49" s="9"/>
      <c r="E49" s="4">
        <f t="shared" si="1"/>
        <v>385372.7</v>
      </c>
      <c r="J49" s="6"/>
    </row>
    <row r="50">
      <c r="A50" s="7">
        <v>46057.0</v>
      </c>
      <c r="B50" s="1" t="s">
        <v>142</v>
      </c>
      <c r="C50" s="9"/>
      <c r="D50" s="9"/>
      <c r="E50" s="4">
        <f t="shared" si="1"/>
        <v>385372.7</v>
      </c>
      <c r="J50" s="6"/>
    </row>
    <row r="51">
      <c r="A51" s="7">
        <v>46057.0</v>
      </c>
      <c r="B51" s="1" t="s">
        <v>143</v>
      </c>
      <c r="C51" s="9"/>
      <c r="D51" s="9"/>
      <c r="E51" s="4">
        <f t="shared" si="1"/>
        <v>385372.7</v>
      </c>
      <c r="J51" s="6"/>
    </row>
    <row r="52">
      <c r="A52" s="7">
        <v>46057.0</v>
      </c>
      <c r="B52" s="1" t="s">
        <v>70</v>
      </c>
      <c r="C52" s="9"/>
      <c r="D52" s="9">
        <v>400000.0</v>
      </c>
      <c r="E52" s="4">
        <f t="shared" si="1"/>
        <v>785372.7</v>
      </c>
      <c r="J52" s="6"/>
    </row>
    <row r="53">
      <c r="A53" s="7">
        <v>46057.0</v>
      </c>
      <c r="B53" s="1" t="s">
        <v>144</v>
      </c>
      <c r="C53" s="9">
        <v>25346.44</v>
      </c>
      <c r="D53" s="9"/>
      <c r="E53" s="4">
        <f t="shared" si="1"/>
        <v>760026.26</v>
      </c>
      <c r="J53" s="6"/>
    </row>
    <row r="54">
      <c r="A54" s="7">
        <v>46058.0</v>
      </c>
      <c r="B54" s="1" t="s">
        <v>145</v>
      </c>
      <c r="C54" s="9"/>
      <c r="D54" s="9">
        <v>360000.0</v>
      </c>
      <c r="E54" s="4">
        <f t="shared" si="1"/>
        <v>1120026.26</v>
      </c>
      <c r="J54" s="6"/>
    </row>
    <row r="55">
      <c r="A55" s="7">
        <v>46058.0</v>
      </c>
      <c r="B55" s="1" t="s">
        <v>23</v>
      </c>
      <c r="C55" s="9">
        <v>1000000.0</v>
      </c>
      <c r="D55" s="9"/>
      <c r="E55" s="4">
        <f t="shared" si="1"/>
        <v>120026.26</v>
      </c>
      <c r="J55" s="6"/>
    </row>
    <row r="56">
      <c r="A56" s="7"/>
      <c r="B56" s="1" t="s">
        <v>146</v>
      </c>
      <c r="C56" s="9"/>
      <c r="D56" s="9"/>
      <c r="E56" s="4">
        <f t="shared" si="1"/>
        <v>120026.26</v>
      </c>
      <c r="J56" s="6"/>
    </row>
    <row r="57">
      <c r="A57" s="7">
        <v>46058.0</v>
      </c>
      <c r="B57" s="1" t="s">
        <v>147</v>
      </c>
      <c r="C57" s="9"/>
      <c r="D57" s="9">
        <v>30000.0</v>
      </c>
      <c r="E57" s="4">
        <f t="shared" si="1"/>
        <v>150026.26</v>
      </c>
      <c r="J57" s="6"/>
    </row>
    <row r="58">
      <c r="A58" s="7">
        <v>46059.0</v>
      </c>
      <c r="B58" s="1" t="s">
        <v>148</v>
      </c>
      <c r="C58" s="9">
        <v>8500.0</v>
      </c>
      <c r="D58" s="9"/>
      <c r="E58" s="4">
        <f t="shared" si="1"/>
        <v>141526.26</v>
      </c>
      <c r="J58" s="6"/>
    </row>
    <row r="59">
      <c r="A59" s="7">
        <v>46059.0</v>
      </c>
      <c r="B59" s="1" t="s">
        <v>128</v>
      </c>
      <c r="C59" s="9">
        <v>126000.0</v>
      </c>
      <c r="D59" s="9"/>
      <c r="E59" s="4">
        <f t="shared" si="1"/>
        <v>15526.26</v>
      </c>
      <c r="J59" s="6"/>
    </row>
    <row r="60">
      <c r="A60" s="7">
        <v>46059.0</v>
      </c>
      <c r="B60" s="1" t="s">
        <v>104</v>
      </c>
      <c r="C60" s="9"/>
      <c r="D60" s="9">
        <v>670000.0</v>
      </c>
      <c r="E60" s="4">
        <f t="shared" si="1"/>
        <v>685526.26</v>
      </c>
      <c r="J60" s="6"/>
    </row>
    <row r="61">
      <c r="A61" s="7">
        <v>46059.0</v>
      </c>
      <c r="B61" s="1" t="s">
        <v>149</v>
      </c>
      <c r="C61" s="9"/>
      <c r="D61" s="9"/>
      <c r="E61" s="4">
        <f t="shared" si="1"/>
        <v>685526.26</v>
      </c>
      <c r="J61" s="6"/>
    </row>
    <row r="62">
      <c r="A62" s="7">
        <v>46059.0</v>
      </c>
      <c r="B62" s="1" t="s">
        <v>150</v>
      </c>
      <c r="C62" s="9"/>
      <c r="D62" s="9"/>
      <c r="E62" s="4">
        <f t="shared" si="1"/>
        <v>685526.26</v>
      </c>
      <c r="J62" s="6"/>
    </row>
    <row r="63">
      <c r="A63" s="7">
        <v>46059.0</v>
      </c>
      <c r="B63" s="1" t="s">
        <v>151</v>
      </c>
      <c r="C63" s="9"/>
      <c r="D63" s="9"/>
      <c r="E63" s="4">
        <f t="shared" si="1"/>
        <v>685526.26</v>
      </c>
      <c r="J63" s="6"/>
    </row>
    <row r="64">
      <c r="A64" s="7">
        <v>46060.0</v>
      </c>
      <c r="B64" s="1" t="s">
        <v>129</v>
      </c>
      <c r="C64" s="9">
        <v>220000.0</v>
      </c>
      <c r="D64" s="9"/>
      <c r="E64" s="4">
        <f t="shared" si="1"/>
        <v>465526.26</v>
      </c>
      <c r="J64" s="6"/>
    </row>
    <row r="65">
      <c r="A65" s="7">
        <v>46062.0</v>
      </c>
      <c r="B65" s="1" t="s">
        <v>120</v>
      </c>
      <c r="C65" s="9">
        <v>10000.0</v>
      </c>
      <c r="D65" s="9"/>
      <c r="E65" s="4">
        <f t="shared" si="1"/>
        <v>455526.26</v>
      </c>
      <c r="J65" s="6"/>
    </row>
    <row r="66">
      <c r="A66" s="7">
        <v>46062.0</v>
      </c>
      <c r="B66" s="1" t="s">
        <v>152</v>
      </c>
      <c r="C66" s="9"/>
      <c r="D66" s="9"/>
      <c r="E66" s="4">
        <f t="shared" si="1"/>
        <v>455526.26</v>
      </c>
      <c r="J66" s="6"/>
    </row>
    <row r="67">
      <c r="A67" s="7">
        <v>46063.0</v>
      </c>
      <c r="B67" s="1" t="s">
        <v>111</v>
      </c>
      <c r="C67" s="9">
        <v>4290.0</v>
      </c>
      <c r="D67" s="9"/>
      <c r="E67" s="4">
        <f t="shared" si="1"/>
        <v>451236.26</v>
      </c>
      <c r="J67" s="6"/>
    </row>
    <row r="68">
      <c r="A68" s="7">
        <v>46064.0</v>
      </c>
      <c r="B68" s="1" t="s">
        <v>111</v>
      </c>
      <c r="C68" s="9">
        <v>2890.0</v>
      </c>
      <c r="D68" s="9"/>
      <c r="E68" s="4">
        <f t="shared" si="1"/>
        <v>448346.26</v>
      </c>
      <c r="J68" s="6"/>
    </row>
    <row r="69">
      <c r="A69" s="7">
        <v>46065.0</v>
      </c>
      <c r="B69" s="1" t="s">
        <v>111</v>
      </c>
      <c r="C69" s="9">
        <v>3340.0</v>
      </c>
      <c r="D69" s="9"/>
      <c r="E69" s="4">
        <f t="shared" si="1"/>
        <v>445006.26</v>
      </c>
      <c r="J69" s="6"/>
    </row>
    <row r="70">
      <c r="A70" s="7">
        <v>46066.0</v>
      </c>
      <c r="B70" s="1" t="s">
        <v>111</v>
      </c>
      <c r="C70" s="9">
        <v>3090.0</v>
      </c>
      <c r="D70" s="9"/>
      <c r="E70" s="4">
        <f t="shared" si="1"/>
        <v>441916.26</v>
      </c>
      <c r="J70" s="6"/>
    </row>
    <row r="71">
      <c r="A71" s="7">
        <v>46069.0</v>
      </c>
      <c r="B71" s="1" t="s">
        <v>7</v>
      </c>
      <c r="C71" s="9">
        <v>100000.0</v>
      </c>
      <c r="D71" s="9"/>
      <c r="E71" s="4">
        <f t="shared" si="1"/>
        <v>341916.26</v>
      </c>
      <c r="J71" s="6"/>
    </row>
    <row r="72">
      <c r="A72" s="7">
        <v>46069.0</v>
      </c>
      <c r="B72" s="1" t="s">
        <v>153</v>
      </c>
      <c r="C72" s="9">
        <v>10000.0</v>
      </c>
      <c r="D72" s="9"/>
      <c r="E72" s="4">
        <f t="shared" si="1"/>
        <v>331916.26</v>
      </c>
      <c r="J72" s="6"/>
    </row>
    <row r="73">
      <c r="A73" s="7">
        <v>46071.0</v>
      </c>
      <c r="B73" s="1" t="s">
        <v>111</v>
      </c>
      <c r="C73" s="9">
        <v>2023.0</v>
      </c>
      <c r="D73" s="9"/>
      <c r="E73" s="4">
        <f t="shared" si="1"/>
        <v>329893.26</v>
      </c>
      <c r="J73" s="6"/>
    </row>
    <row r="74">
      <c r="A74" s="7">
        <v>46071.0</v>
      </c>
      <c r="B74" s="1" t="s">
        <v>154</v>
      </c>
      <c r="C74" s="9">
        <v>26000.0</v>
      </c>
      <c r="D74" s="9"/>
      <c r="E74" s="4">
        <f t="shared" si="1"/>
        <v>303893.26</v>
      </c>
      <c r="J74" s="6"/>
    </row>
    <row r="75">
      <c r="A75" s="7">
        <v>46071.0</v>
      </c>
      <c r="B75" s="1" t="s">
        <v>120</v>
      </c>
      <c r="C75" s="9">
        <v>10000.0</v>
      </c>
      <c r="D75" s="9"/>
      <c r="E75" s="4">
        <f t="shared" si="1"/>
        <v>293893.26</v>
      </c>
      <c r="J75" s="6"/>
    </row>
    <row r="76">
      <c r="A76" s="7">
        <v>46072.0</v>
      </c>
      <c r="B76" s="1" t="s">
        <v>155</v>
      </c>
      <c r="C76" s="9">
        <v>56000.0</v>
      </c>
      <c r="D76" s="9"/>
      <c r="E76" s="4">
        <f t="shared" si="1"/>
        <v>237893.26</v>
      </c>
      <c r="J76" s="6"/>
    </row>
    <row r="77">
      <c r="A77" s="7">
        <v>46072.0</v>
      </c>
      <c r="B77" s="1" t="s">
        <v>156</v>
      </c>
      <c r="C77" s="9">
        <v>82000.0</v>
      </c>
      <c r="D77" s="9"/>
      <c r="E77" s="4">
        <f t="shared" si="1"/>
        <v>155893.26</v>
      </c>
      <c r="J77" s="6"/>
    </row>
    <row r="78">
      <c r="A78" s="7">
        <v>46072.0</v>
      </c>
      <c r="B78" s="1" t="s">
        <v>154</v>
      </c>
      <c r="C78" s="9">
        <v>10800.0</v>
      </c>
      <c r="D78" s="9"/>
      <c r="E78" s="4">
        <f t="shared" si="1"/>
        <v>145093.26</v>
      </c>
      <c r="J78" s="6"/>
    </row>
    <row r="79">
      <c r="A79" s="7">
        <v>46072.0</v>
      </c>
      <c r="B79" s="1" t="s">
        <v>7</v>
      </c>
      <c r="C79" s="9">
        <v>30000.0</v>
      </c>
      <c r="D79" s="9"/>
      <c r="E79" s="4">
        <f t="shared" si="1"/>
        <v>115093.26</v>
      </c>
      <c r="J79" s="6"/>
    </row>
    <row r="80">
      <c r="A80" s="7">
        <v>46071.0</v>
      </c>
      <c r="B80" s="1" t="s">
        <v>157</v>
      </c>
      <c r="C80" s="9"/>
      <c r="D80" s="9"/>
      <c r="E80" s="4">
        <f t="shared" si="1"/>
        <v>115093.26</v>
      </c>
      <c r="J80" s="6"/>
    </row>
    <row r="81">
      <c r="A81" s="7">
        <v>46073.0</v>
      </c>
      <c r="B81" s="1" t="s">
        <v>134</v>
      </c>
      <c r="C81" s="9">
        <v>25495.79</v>
      </c>
      <c r="D81" s="9"/>
      <c r="E81" s="4">
        <f t="shared" si="1"/>
        <v>89597.47</v>
      </c>
      <c r="J81" s="6"/>
    </row>
    <row r="82">
      <c r="A82" s="7">
        <v>46073.0</v>
      </c>
      <c r="B82" s="1" t="s">
        <v>158</v>
      </c>
      <c r="C82" s="9">
        <v>75804.33</v>
      </c>
      <c r="D82" s="9"/>
      <c r="E82" s="4">
        <f t="shared" si="1"/>
        <v>13793.14</v>
      </c>
      <c r="J82" s="6"/>
    </row>
    <row r="83">
      <c r="A83" s="7">
        <v>46073.0</v>
      </c>
      <c r="B83" s="1" t="s">
        <v>135</v>
      </c>
      <c r="C83" s="9">
        <v>26034.93</v>
      </c>
      <c r="D83" s="19">
        <v>13900.58</v>
      </c>
      <c r="E83" s="4">
        <f t="shared" si="1"/>
        <v>1658.79</v>
      </c>
      <c r="J83" s="6"/>
    </row>
    <row r="84">
      <c r="A84" s="7">
        <v>46073.0</v>
      </c>
      <c r="B84" s="1" t="s">
        <v>70</v>
      </c>
      <c r="C84" s="9"/>
      <c r="D84" s="9">
        <v>600000.0</v>
      </c>
      <c r="E84" s="4">
        <f t="shared" si="1"/>
        <v>601658.79</v>
      </c>
      <c r="J84" s="6"/>
    </row>
    <row r="85">
      <c r="A85" s="7">
        <v>46073.0</v>
      </c>
      <c r="B85" s="1" t="s">
        <v>159</v>
      </c>
      <c r="C85" s="9">
        <v>296360.34</v>
      </c>
      <c r="D85" s="9"/>
      <c r="E85" s="4">
        <f t="shared" si="1"/>
        <v>305298.45</v>
      </c>
      <c r="J85" s="6"/>
    </row>
    <row r="86">
      <c r="A86" s="7">
        <v>46074.0</v>
      </c>
      <c r="B86" s="1" t="s">
        <v>154</v>
      </c>
      <c r="C86" s="9">
        <v>102740.0</v>
      </c>
      <c r="D86" s="9"/>
      <c r="E86" s="4">
        <f t="shared" si="1"/>
        <v>202558.45</v>
      </c>
      <c r="J86" s="6"/>
    </row>
    <row r="87">
      <c r="A87" s="7">
        <v>46076.0</v>
      </c>
      <c r="B87" s="1" t="s">
        <v>160</v>
      </c>
      <c r="C87" s="9">
        <v>84290.72</v>
      </c>
      <c r="D87" s="9"/>
      <c r="E87" s="4">
        <f t="shared" si="1"/>
        <v>118267.73</v>
      </c>
      <c r="J87" s="6"/>
    </row>
    <row r="88">
      <c r="A88" s="7">
        <v>46076.0</v>
      </c>
      <c r="B88" s="1" t="s">
        <v>7</v>
      </c>
      <c r="C88" s="9">
        <v>70000.0</v>
      </c>
      <c r="D88" s="9"/>
      <c r="E88" s="4">
        <f t="shared" si="1"/>
        <v>48267.73</v>
      </c>
      <c r="J88" s="6"/>
    </row>
    <row r="89">
      <c r="A89" s="7">
        <v>46076.0</v>
      </c>
      <c r="B89" s="1" t="s">
        <v>70</v>
      </c>
      <c r="C89" s="9"/>
      <c r="D89" s="9">
        <v>90000.0</v>
      </c>
      <c r="E89" s="4">
        <f t="shared" si="1"/>
        <v>138267.73</v>
      </c>
      <c r="J89" s="6"/>
    </row>
    <row r="90">
      <c r="A90" s="7">
        <v>46076.0</v>
      </c>
      <c r="B90" s="1" t="s">
        <v>108</v>
      </c>
      <c r="C90" s="9"/>
      <c r="D90" s="9">
        <v>11171.99</v>
      </c>
      <c r="E90" s="4">
        <f t="shared" si="1"/>
        <v>149439.72</v>
      </c>
      <c r="J90" s="6"/>
    </row>
    <row r="91">
      <c r="A91" s="7">
        <v>46076.0</v>
      </c>
      <c r="B91" s="9" t="s">
        <v>161</v>
      </c>
      <c r="C91" s="9"/>
      <c r="D91" s="9">
        <v>18000.0</v>
      </c>
      <c r="E91" s="4">
        <f t="shared" si="1"/>
        <v>167439.72</v>
      </c>
      <c r="J91" s="6"/>
    </row>
    <row r="92">
      <c r="A92" s="7">
        <v>46076.0</v>
      </c>
      <c r="B92" s="1" t="s">
        <v>111</v>
      </c>
      <c r="C92" s="9">
        <v>2237.0</v>
      </c>
      <c r="D92" s="9"/>
      <c r="E92" s="4">
        <f t="shared" si="1"/>
        <v>165202.72</v>
      </c>
      <c r="J92" s="6"/>
    </row>
    <row r="93">
      <c r="A93" s="7">
        <v>46077.0</v>
      </c>
      <c r="B93" s="1" t="s">
        <v>154</v>
      </c>
      <c r="C93" s="9">
        <v>9000.0</v>
      </c>
      <c r="D93" s="9"/>
      <c r="E93" s="4">
        <f t="shared" si="1"/>
        <v>156202.72</v>
      </c>
      <c r="J93" s="6"/>
    </row>
    <row r="94">
      <c r="A94" s="7">
        <v>46077.0</v>
      </c>
      <c r="B94" s="1" t="s">
        <v>111</v>
      </c>
      <c r="C94" s="9">
        <v>2303.0</v>
      </c>
      <c r="D94" s="9"/>
      <c r="E94" s="4">
        <f t="shared" si="1"/>
        <v>153899.72</v>
      </c>
      <c r="J94" s="6"/>
    </row>
    <row r="95">
      <c r="A95" s="7">
        <v>46078.0</v>
      </c>
      <c r="B95" s="1" t="s">
        <v>162</v>
      </c>
      <c r="C95" s="9">
        <v>50000.0</v>
      </c>
      <c r="D95" s="9"/>
      <c r="E95" s="4">
        <f t="shared" si="1"/>
        <v>103899.72</v>
      </c>
      <c r="J95" s="6"/>
    </row>
    <row r="96">
      <c r="A96" s="7">
        <v>46079.0</v>
      </c>
      <c r="B96" s="1" t="s">
        <v>111</v>
      </c>
      <c r="C96" s="9">
        <v>2233.0</v>
      </c>
      <c r="D96" s="9"/>
      <c r="E96" s="4">
        <f t="shared" si="1"/>
        <v>101666.72</v>
      </c>
      <c r="J96" s="6"/>
    </row>
    <row r="97">
      <c r="A97" s="7">
        <v>46079.0</v>
      </c>
      <c r="B97" s="1" t="s">
        <v>163</v>
      </c>
      <c r="C97" s="9">
        <v>18000.0</v>
      </c>
      <c r="D97" s="9"/>
      <c r="E97" s="4">
        <f t="shared" si="1"/>
        <v>83666.72</v>
      </c>
      <c r="J97" s="6"/>
    </row>
    <row r="98">
      <c r="A98" s="7">
        <v>46080.0</v>
      </c>
      <c r="B98" s="1" t="s">
        <v>164</v>
      </c>
      <c r="C98" s="9">
        <v>69900.0</v>
      </c>
      <c r="D98" s="9"/>
      <c r="E98" s="4">
        <f t="shared" si="1"/>
        <v>13766.72</v>
      </c>
      <c r="J98" s="6"/>
    </row>
    <row r="99">
      <c r="A99" s="7">
        <v>46081.0</v>
      </c>
      <c r="B99" s="1" t="s">
        <v>165</v>
      </c>
      <c r="C99" s="9"/>
      <c r="D99" s="9"/>
      <c r="E99" s="4">
        <f t="shared" si="1"/>
        <v>13766.72</v>
      </c>
      <c r="J99" s="6"/>
    </row>
    <row r="100">
      <c r="A100" s="7">
        <v>46082.0</v>
      </c>
      <c r="B100" s="1" t="s">
        <v>166</v>
      </c>
      <c r="C100" s="9"/>
      <c r="D100" s="9"/>
      <c r="E100" s="4">
        <f t="shared" si="1"/>
        <v>13766.72</v>
      </c>
      <c r="J100" s="6"/>
    </row>
    <row r="101">
      <c r="A101" s="7">
        <v>46082.0</v>
      </c>
      <c r="B101" s="1" t="s">
        <v>167</v>
      </c>
      <c r="C101" s="9"/>
      <c r="D101" s="9"/>
      <c r="E101" s="4">
        <f t="shared" si="1"/>
        <v>13766.72</v>
      </c>
      <c r="J101" s="6"/>
    </row>
    <row r="102">
      <c r="A102" s="7">
        <v>46082.0</v>
      </c>
      <c r="B102" s="1" t="s">
        <v>168</v>
      </c>
      <c r="C102" s="9"/>
      <c r="D102" s="9"/>
      <c r="E102" s="4">
        <f t="shared" si="1"/>
        <v>13766.72</v>
      </c>
      <c r="J102" s="6"/>
    </row>
    <row r="103">
      <c r="A103" s="7">
        <v>46082.0</v>
      </c>
      <c r="B103" s="1" t="s">
        <v>169</v>
      </c>
      <c r="C103" s="9"/>
      <c r="D103" s="9"/>
      <c r="E103" s="4">
        <f t="shared" si="1"/>
        <v>13766.72</v>
      </c>
      <c r="J103" s="6"/>
    </row>
    <row r="104">
      <c r="A104" s="7">
        <v>46082.0</v>
      </c>
      <c r="B104" s="1" t="s">
        <v>57</v>
      </c>
      <c r="C104" s="9"/>
      <c r="D104" s="9">
        <v>100000.0</v>
      </c>
      <c r="E104" s="4">
        <f t="shared" si="1"/>
        <v>113766.72</v>
      </c>
      <c r="J104" s="6"/>
    </row>
    <row r="105">
      <c r="A105" s="7">
        <v>46083.0</v>
      </c>
      <c r="B105" s="1" t="s">
        <v>170</v>
      </c>
      <c r="C105" s="9"/>
      <c r="D105" s="9"/>
      <c r="E105" s="4">
        <f t="shared" si="1"/>
        <v>113766.72</v>
      </c>
      <c r="J105" s="6"/>
    </row>
    <row r="106">
      <c r="A106" s="7">
        <v>46083.0</v>
      </c>
      <c r="B106" s="1" t="s">
        <v>120</v>
      </c>
      <c r="C106" s="9">
        <v>10000.0</v>
      </c>
      <c r="D106" s="9"/>
      <c r="E106" s="4">
        <f t="shared" si="1"/>
        <v>103766.72</v>
      </c>
      <c r="J106" s="6"/>
    </row>
    <row r="107">
      <c r="A107" s="7">
        <v>46083.0</v>
      </c>
      <c r="B107" s="1" t="s">
        <v>171</v>
      </c>
      <c r="C107" s="9"/>
      <c r="D107" s="9">
        <v>360000.0</v>
      </c>
      <c r="E107" s="4">
        <f t="shared" si="1"/>
        <v>463766.72</v>
      </c>
      <c r="J107" s="6"/>
    </row>
    <row r="108">
      <c r="A108" s="7">
        <v>46083.0</v>
      </c>
      <c r="B108" s="1" t="s">
        <v>111</v>
      </c>
      <c r="C108" s="9">
        <v>3290.0</v>
      </c>
      <c r="D108" s="9"/>
      <c r="E108" s="4">
        <f t="shared" si="1"/>
        <v>460476.72</v>
      </c>
      <c r="J108" s="6"/>
    </row>
    <row r="109">
      <c r="A109" s="7">
        <v>46084.0</v>
      </c>
      <c r="B109" s="1" t="s">
        <v>111</v>
      </c>
      <c r="C109" s="9">
        <v>3290.0</v>
      </c>
      <c r="D109" s="9"/>
      <c r="E109" s="4">
        <f t="shared" si="1"/>
        <v>457186.72</v>
      </c>
      <c r="J109" s="6"/>
    </row>
    <row r="110">
      <c r="A110" s="7">
        <v>46084.0</v>
      </c>
      <c r="B110" s="1" t="s">
        <v>138</v>
      </c>
      <c r="C110" s="9">
        <v>54724.0</v>
      </c>
      <c r="D110" s="9"/>
      <c r="E110" s="4">
        <f t="shared" si="1"/>
        <v>402462.72</v>
      </c>
      <c r="J110" s="6"/>
    </row>
    <row r="111">
      <c r="A111" s="7">
        <v>46084.0</v>
      </c>
      <c r="B111" s="1" t="s">
        <v>172</v>
      </c>
      <c r="C111" s="9"/>
      <c r="D111" s="9"/>
      <c r="E111" s="4">
        <f t="shared" si="1"/>
        <v>402462.72</v>
      </c>
      <c r="J111" s="6"/>
    </row>
    <row r="112">
      <c r="A112" s="7">
        <v>46085.0</v>
      </c>
      <c r="B112" s="1" t="s">
        <v>128</v>
      </c>
      <c r="C112" s="9">
        <v>144000.0</v>
      </c>
      <c r="D112" s="9"/>
      <c r="E112" s="4">
        <f t="shared" si="1"/>
        <v>258462.72</v>
      </c>
      <c r="J112" s="6"/>
    </row>
    <row r="113">
      <c r="A113" s="7">
        <v>46085.0</v>
      </c>
      <c r="B113" s="1" t="s">
        <v>173</v>
      </c>
      <c r="C113" s="9"/>
      <c r="D113" s="9"/>
      <c r="E113" s="4">
        <f t="shared" si="1"/>
        <v>258462.72</v>
      </c>
      <c r="J113" s="6"/>
    </row>
    <row r="114">
      <c r="A114" s="7">
        <v>46085.0</v>
      </c>
      <c r="B114" s="1" t="s">
        <v>148</v>
      </c>
      <c r="C114" s="9">
        <v>137500.0</v>
      </c>
      <c r="D114" s="9"/>
      <c r="E114" s="4">
        <f t="shared" si="1"/>
        <v>120962.72</v>
      </c>
      <c r="J114" s="6"/>
    </row>
    <row r="115">
      <c r="A115" s="7">
        <v>46086.0</v>
      </c>
      <c r="B115" s="1" t="s">
        <v>174</v>
      </c>
      <c r="C115" s="9"/>
      <c r="D115" s="9"/>
      <c r="E115" s="4">
        <f t="shared" si="1"/>
        <v>120962.72</v>
      </c>
      <c r="J115" s="6"/>
    </row>
    <row r="116">
      <c r="A116" s="7">
        <v>46086.0</v>
      </c>
      <c r="B116" s="1" t="s">
        <v>120</v>
      </c>
      <c r="C116" s="9">
        <v>10000.0</v>
      </c>
      <c r="D116" s="9"/>
      <c r="E116" s="4">
        <f t="shared" si="1"/>
        <v>110962.72</v>
      </c>
      <c r="J116" s="6"/>
    </row>
    <row r="117">
      <c r="A117" s="7">
        <v>46087.0</v>
      </c>
      <c r="B117" s="1" t="s">
        <v>104</v>
      </c>
      <c r="C117" s="9"/>
      <c r="D117" s="9">
        <v>670000.0</v>
      </c>
      <c r="E117" s="4">
        <f t="shared" si="1"/>
        <v>780962.72</v>
      </c>
      <c r="J117" s="6"/>
    </row>
    <row r="118">
      <c r="A118" s="7">
        <v>46087.0</v>
      </c>
      <c r="B118" s="1" t="s">
        <v>115</v>
      </c>
      <c r="C118" s="9">
        <v>90342.38</v>
      </c>
      <c r="D118" s="9"/>
      <c r="E118" s="4">
        <f t="shared" si="1"/>
        <v>690620.34</v>
      </c>
      <c r="J118" s="6"/>
    </row>
    <row r="119">
      <c r="A119" s="7">
        <v>46087.0</v>
      </c>
      <c r="B119" s="1" t="s">
        <v>175</v>
      </c>
      <c r="C119" s="9"/>
      <c r="D119" s="9"/>
      <c r="E119" s="4">
        <f t="shared" si="1"/>
        <v>690620.34</v>
      </c>
      <c r="J119" s="6"/>
    </row>
    <row r="120">
      <c r="A120" s="7">
        <v>46090.0</v>
      </c>
      <c r="B120" s="1" t="s">
        <v>176</v>
      </c>
      <c r="C120" s="9">
        <v>586401.81</v>
      </c>
      <c r="D120" s="9"/>
      <c r="E120" s="4">
        <f t="shared" si="1"/>
        <v>104218.53</v>
      </c>
      <c r="J120" s="6"/>
    </row>
    <row r="121">
      <c r="A121" s="7">
        <v>46090.0</v>
      </c>
      <c r="B121" s="1" t="s">
        <v>177</v>
      </c>
      <c r="C121" s="9"/>
      <c r="D121" s="9"/>
      <c r="E121" s="4">
        <f t="shared" si="1"/>
        <v>104218.53</v>
      </c>
      <c r="J121" s="6"/>
    </row>
    <row r="122">
      <c r="A122" s="7">
        <v>46090.0</v>
      </c>
      <c r="B122" s="1" t="s">
        <v>178</v>
      </c>
      <c r="C122" s="9"/>
      <c r="D122" s="9"/>
      <c r="E122" s="4">
        <f t="shared" si="1"/>
        <v>104218.53</v>
      </c>
      <c r="J122" s="6"/>
    </row>
    <row r="123">
      <c r="A123" s="7">
        <v>46090.0</v>
      </c>
      <c r="B123" s="1" t="s">
        <v>70</v>
      </c>
      <c r="C123" s="9"/>
      <c r="D123" s="9">
        <v>300000.0</v>
      </c>
      <c r="E123" s="4">
        <f t="shared" si="1"/>
        <v>404218.53</v>
      </c>
      <c r="J123" s="6"/>
    </row>
    <row r="124">
      <c r="A124" s="7">
        <v>46090.0</v>
      </c>
      <c r="B124" s="1" t="s">
        <v>179</v>
      </c>
      <c r="C124" s="9">
        <v>288661.56</v>
      </c>
      <c r="D124" s="9"/>
      <c r="E124" s="4">
        <f t="shared" si="1"/>
        <v>115556.97</v>
      </c>
      <c r="J124" s="6"/>
    </row>
    <row r="125">
      <c r="A125" s="7">
        <v>46090.0</v>
      </c>
      <c r="B125" s="1" t="s">
        <v>7</v>
      </c>
      <c r="C125" s="9">
        <v>5000.0</v>
      </c>
      <c r="D125" s="9"/>
      <c r="E125" s="4">
        <f t="shared" si="1"/>
        <v>110556.97</v>
      </c>
      <c r="J125" s="6"/>
    </row>
    <row r="126">
      <c r="A126" s="7">
        <v>46090.0</v>
      </c>
      <c r="B126" s="1" t="s">
        <v>70</v>
      </c>
      <c r="C126" s="9"/>
      <c r="D126" s="9">
        <v>300000.0</v>
      </c>
      <c r="E126" s="4">
        <f t="shared" si="1"/>
        <v>410556.97</v>
      </c>
      <c r="J126" s="6"/>
    </row>
    <row r="127">
      <c r="A127" s="7">
        <v>46090.0</v>
      </c>
      <c r="B127" s="1" t="s">
        <v>111</v>
      </c>
      <c r="C127" s="9">
        <v>3290.0</v>
      </c>
      <c r="D127" s="9"/>
      <c r="E127" s="4">
        <f t="shared" si="1"/>
        <v>407266.97</v>
      </c>
      <c r="J127" s="6"/>
    </row>
    <row r="128">
      <c r="A128" s="7">
        <v>46091.0</v>
      </c>
      <c r="B128" s="1" t="s">
        <v>111</v>
      </c>
      <c r="C128" s="9">
        <v>3339.0</v>
      </c>
      <c r="D128" s="9"/>
      <c r="E128" s="4">
        <f t="shared" si="1"/>
        <v>403927.97</v>
      </c>
      <c r="J128" s="6"/>
    </row>
    <row r="129">
      <c r="A129" s="7">
        <v>46091.0</v>
      </c>
      <c r="B129" s="1" t="s">
        <v>120</v>
      </c>
      <c r="C129" s="9">
        <v>10000.0</v>
      </c>
      <c r="D129" s="9"/>
      <c r="E129" s="4">
        <f t="shared" si="1"/>
        <v>393927.97</v>
      </c>
      <c r="J129" s="6"/>
    </row>
    <row r="130">
      <c r="A130" s="7">
        <v>46091.0</v>
      </c>
      <c r="B130" s="1" t="s">
        <v>180</v>
      </c>
      <c r="C130" s="9"/>
      <c r="D130" s="9"/>
      <c r="E130" s="4">
        <f t="shared" si="1"/>
        <v>393927.97</v>
      </c>
      <c r="J130" s="6"/>
    </row>
    <row r="131">
      <c r="A131" s="7">
        <v>46092.0</v>
      </c>
      <c r="B131" s="1" t="s">
        <v>105</v>
      </c>
      <c r="C131" s="9"/>
      <c r="D131" s="9">
        <v>315000.0</v>
      </c>
      <c r="E131" s="4">
        <f t="shared" si="1"/>
        <v>708927.97</v>
      </c>
      <c r="J131" s="6"/>
    </row>
    <row r="132">
      <c r="A132" s="7">
        <v>46093.0</v>
      </c>
      <c r="B132" s="1" t="s">
        <v>100</v>
      </c>
      <c r="C132" s="9">
        <v>600000.0</v>
      </c>
      <c r="D132" s="9"/>
      <c r="E132" s="4">
        <f t="shared" si="1"/>
        <v>108927.97</v>
      </c>
      <c r="J132" s="6"/>
    </row>
    <row r="133">
      <c r="A133" s="7">
        <v>46094.0</v>
      </c>
      <c r="B133" s="1" t="s">
        <v>111</v>
      </c>
      <c r="C133" s="9">
        <v>2831.0</v>
      </c>
      <c r="D133" s="9"/>
      <c r="E133" s="4">
        <f t="shared" si="1"/>
        <v>106096.97</v>
      </c>
      <c r="J133" s="6"/>
    </row>
    <row r="134">
      <c r="A134" s="7">
        <v>46094.0</v>
      </c>
      <c r="B134" s="1" t="s">
        <v>111</v>
      </c>
      <c r="C134" s="9">
        <v>3490.0</v>
      </c>
      <c r="D134" s="9"/>
      <c r="E134" s="4">
        <f t="shared" si="1"/>
        <v>102606.97</v>
      </c>
      <c r="J134" s="6"/>
    </row>
    <row r="135">
      <c r="A135" s="7">
        <v>46097.0</v>
      </c>
      <c r="B135" s="1" t="s">
        <v>111</v>
      </c>
      <c r="C135" s="9">
        <v>3490.0</v>
      </c>
      <c r="D135" s="9"/>
      <c r="E135" s="4">
        <f t="shared" si="1"/>
        <v>99116.97</v>
      </c>
      <c r="J135" s="6"/>
    </row>
    <row r="136">
      <c r="A136" s="7">
        <v>46097.0</v>
      </c>
      <c r="B136" s="1" t="s">
        <v>111</v>
      </c>
      <c r="C136" s="9">
        <v>3390.0</v>
      </c>
      <c r="D136" s="9"/>
      <c r="E136" s="4">
        <f t="shared" si="1"/>
        <v>95726.97</v>
      </c>
      <c r="J136" s="6"/>
    </row>
    <row r="137">
      <c r="A137" s="7">
        <v>46098.0</v>
      </c>
      <c r="B137" s="1" t="s">
        <v>164</v>
      </c>
      <c r="C137" s="9">
        <v>69900.0</v>
      </c>
      <c r="D137" s="9"/>
      <c r="E137" s="4">
        <f t="shared" si="1"/>
        <v>25826.97</v>
      </c>
      <c r="J137" s="6"/>
    </row>
    <row r="138">
      <c r="A138" s="7">
        <v>46098.0</v>
      </c>
      <c r="B138" s="1" t="s">
        <v>57</v>
      </c>
      <c r="C138" s="9"/>
      <c r="D138" s="9">
        <v>145000.0</v>
      </c>
      <c r="E138" s="4">
        <f t="shared" si="1"/>
        <v>170826.97</v>
      </c>
      <c r="J138" s="6"/>
    </row>
    <row r="139">
      <c r="A139" s="7">
        <v>46099.0</v>
      </c>
      <c r="B139" s="1" t="s">
        <v>181</v>
      </c>
      <c r="C139" s="9"/>
      <c r="D139" s="9"/>
      <c r="E139" s="4">
        <f t="shared" si="1"/>
        <v>170826.97</v>
      </c>
      <c r="J139" s="6"/>
    </row>
    <row r="140">
      <c r="A140" s="7">
        <v>46101.0</v>
      </c>
      <c r="B140" s="1" t="s">
        <v>182</v>
      </c>
      <c r="C140" s="9">
        <v>104727.21</v>
      </c>
      <c r="D140" s="9"/>
      <c r="E140" s="4">
        <f t="shared" si="1"/>
        <v>66099.76</v>
      </c>
      <c r="J140" s="6"/>
    </row>
    <row r="141">
      <c r="A141" s="7">
        <v>46101.0</v>
      </c>
      <c r="B141" s="1" t="s">
        <v>134</v>
      </c>
      <c r="C141" s="9">
        <v>25495.79</v>
      </c>
      <c r="D141" s="9"/>
      <c r="E141" s="4">
        <f t="shared" si="1"/>
        <v>40603.97</v>
      </c>
      <c r="J141" s="6"/>
    </row>
    <row r="142">
      <c r="A142" s="7">
        <v>46099.0</v>
      </c>
      <c r="B142" s="1" t="s">
        <v>183</v>
      </c>
      <c r="C142" s="9"/>
      <c r="D142" s="9">
        <v>400000.0</v>
      </c>
      <c r="E142" s="4">
        <f t="shared" si="1"/>
        <v>440603.97</v>
      </c>
      <c r="J142" s="6"/>
    </row>
    <row r="143">
      <c r="A143" s="7">
        <v>46099.0</v>
      </c>
      <c r="B143" s="1" t="s">
        <v>184</v>
      </c>
      <c r="C143" s="9">
        <v>40334.34</v>
      </c>
      <c r="D143" s="9"/>
      <c r="E143" s="4">
        <f t="shared" si="1"/>
        <v>400269.63</v>
      </c>
      <c r="J143" s="6"/>
    </row>
    <row r="144">
      <c r="A144" s="7">
        <v>46102.0</v>
      </c>
      <c r="B144" s="1" t="s">
        <v>185</v>
      </c>
      <c r="C144" s="9">
        <v>104727.21</v>
      </c>
      <c r="D144" s="9"/>
      <c r="E144" s="4">
        <f t="shared" si="1"/>
        <v>295542.42</v>
      </c>
      <c r="J144" s="6"/>
    </row>
    <row r="145">
      <c r="A145" s="7">
        <v>46102.0</v>
      </c>
      <c r="B145" s="1" t="s">
        <v>185</v>
      </c>
      <c r="C145" s="9">
        <v>25495.79</v>
      </c>
      <c r="D145" s="9"/>
      <c r="E145" s="4">
        <f t="shared" si="1"/>
        <v>270046.63</v>
      </c>
      <c r="J145" s="6"/>
    </row>
    <row r="146">
      <c r="A146" s="7">
        <v>46105.0</v>
      </c>
      <c r="B146" s="1" t="s">
        <v>134</v>
      </c>
      <c r="C146" s="9">
        <v>44638.07</v>
      </c>
      <c r="D146" s="9"/>
      <c r="E146" s="4">
        <f t="shared" si="1"/>
        <v>225408.56</v>
      </c>
      <c r="J146" s="6"/>
    </row>
    <row r="147">
      <c r="A147" s="7">
        <v>46106.0</v>
      </c>
      <c r="B147" s="1" t="s">
        <v>135</v>
      </c>
      <c r="C147" s="9">
        <v>22667.07</v>
      </c>
      <c r="D147" s="9"/>
      <c r="E147" s="4">
        <f t="shared" si="1"/>
        <v>202741.49</v>
      </c>
      <c r="J147" s="6"/>
    </row>
    <row r="148">
      <c r="A148" s="7">
        <v>46107.0</v>
      </c>
      <c r="B148" s="1" t="s">
        <v>186</v>
      </c>
      <c r="C148" s="9">
        <v>84290.72</v>
      </c>
      <c r="D148" s="9"/>
      <c r="E148" s="4">
        <f t="shared" si="1"/>
        <v>118450.77</v>
      </c>
      <c r="J148" s="6"/>
    </row>
    <row r="149" ht="14.25" customHeight="1">
      <c r="A149" s="7">
        <v>46107.0</v>
      </c>
      <c r="B149" s="1" t="s">
        <v>187</v>
      </c>
      <c r="C149" s="9"/>
      <c r="D149" s="9"/>
      <c r="E149" s="4">
        <f t="shared" si="1"/>
        <v>118450.77</v>
      </c>
      <c r="J149" s="6"/>
    </row>
    <row r="150" ht="14.25" customHeight="1">
      <c r="A150" s="7">
        <v>46104.0</v>
      </c>
      <c r="B150" s="1" t="s">
        <v>188</v>
      </c>
      <c r="C150" s="9">
        <v>5000.0</v>
      </c>
      <c r="D150" s="9"/>
      <c r="E150" s="4">
        <f t="shared" si="1"/>
        <v>113450.77</v>
      </c>
      <c r="J150" s="6"/>
    </row>
    <row r="151" ht="14.25" customHeight="1">
      <c r="A151" s="7">
        <v>46106.0</v>
      </c>
      <c r="B151" s="1" t="s">
        <v>189</v>
      </c>
      <c r="C151" s="9">
        <v>17200.0</v>
      </c>
      <c r="D151" s="9"/>
      <c r="E151" s="4">
        <f t="shared" si="1"/>
        <v>96250.77</v>
      </c>
      <c r="J151" s="6"/>
    </row>
    <row r="152" ht="14.25" customHeight="1">
      <c r="A152" s="7">
        <v>46107.0</v>
      </c>
      <c r="B152" s="1" t="s">
        <v>120</v>
      </c>
      <c r="C152" s="9">
        <v>10000.0</v>
      </c>
      <c r="D152" s="9"/>
      <c r="E152" s="4">
        <f t="shared" si="1"/>
        <v>86250.77</v>
      </c>
      <c r="J152" s="6"/>
    </row>
    <row r="153" ht="14.25" customHeight="1">
      <c r="A153" s="7">
        <v>46107.0</v>
      </c>
      <c r="B153" s="1" t="s">
        <v>120</v>
      </c>
      <c r="C153" s="9">
        <v>5000.0</v>
      </c>
      <c r="D153" s="9"/>
      <c r="E153" s="4">
        <f t="shared" si="1"/>
        <v>81250.77</v>
      </c>
      <c r="J153" s="6"/>
    </row>
    <row r="154" ht="14.25" customHeight="1">
      <c r="A154" s="7">
        <v>46107.0</v>
      </c>
      <c r="B154" s="1" t="s">
        <v>111</v>
      </c>
      <c r="C154" s="9">
        <v>3390.0</v>
      </c>
      <c r="D154" s="9"/>
      <c r="E154" s="4">
        <f t="shared" si="1"/>
        <v>77860.77</v>
      </c>
      <c r="J154" s="6"/>
    </row>
    <row r="155" ht="14.25" customHeight="1">
      <c r="A155" s="7">
        <v>46107.0</v>
      </c>
      <c r="B155" s="1" t="s">
        <v>163</v>
      </c>
      <c r="C155" s="9">
        <v>46000.0</v>
      </c>
      <c r="D155" s="9"/>
      <c r="E155" s="4">
        <f t="shared" si="1"/>
        <v>31860.77</v>
      </c>
      <c r="J155" s="6"/>
    </row>
    <row r="156" ht="14.25" customHeight="1">
      <c r="A156" s="7">
        <v>46108.0</v>
      </c>
      <c r="B156" s="1" t="s">
        <v>138</v>
      </c>
      <c r="C156" s="9">
        <v>23092.85</v>
      </c>
      <c r="D156" s="9"/>
      <c r="E156" s="4">
        <f t="shared" si="1"/>
        <v>8767.92</v>
      </c>
      <c r="J156" s="6"/>
    </row>
    <row r="157" ht="14.25" customHeight="1">
      <c r="A157" s="7">
        <v>46108.0</v>
      </c>
      <c r="B157" s="1" t="s">
        <v>123</v>
      </c>
      <c r="C157" s="9"/>
      <c r="D157" s="9">
        <v>200000.0</v>
      </c>
      <c r="E157" s="4">
        <f t="shared" si="1"/>
        <v>208767.92</v>
      </c>
      <c r="J157" s="6"/>
    </row>
    <row r="158" ht="14.25" customHeight="1">
      <c r="A158" s="7">
        <v>46108.0</v>
      </c>
      <c r="B158" s="1" t="s">
        <v>190</v>
      </c>
      <c r="C158" s="9">
        <v>77000.0</v>
      </c>
      <c r="D158" s="9"/>
      <c r="E158" s="4">
        <f t="shared" si="1"/>
        <v>131767.92</v>
      </c>
      <c r="J158" s="6"/>
    </row>
    <row r="159" ht="14.25" customHeight="1">
      <c r="A159" s="7">
        <v>46109.0</v>
      </c>
      <c r="B159" s="1" t="s">
        <v>100</v>
      </c>
      <c r="C159" s="9">
        <v>15000.0</v>
      </c>
      <c r="D159" s="9"/>
      <c r="E159" s="4">
        <f t="shared" si="1"/>
        <v>116767.92</v>
      </c>
      <c r="J159" s="6"/>
    </row>
    <row r="160" ht="14.25" customHeight="1">
      <c r="A160" s="7">
        <v>46109.0</v>
      </c>
      <c r="B160" s="1" t="s">
        <v>191</v>
      </c>
      <c r="C160" s="9">
        <v>7700.0</v>
      </c>
      <c r="D160" s="9"/>
      <c r="E160" s="4">
        <f t="shared" si="1"/>
        <v>109067.92</v>
      </c>
      <c r="J160" s="6"/>
    </row>
    <row r="161" ht="14.25" customHeight="1">
      <c r="A161" s="7">
        <v>46109.0</v>
      </c>
      <c r="B161" s="1" t="s">
        <v>191</v>
      </c>
      <c r="C161" s="9">
        <v>7700.0</v>
      </c>
      <c r="D161" s="9"/>
      <c r="E161" s="4">
        <f t="shared" si="1"/>
        <v>101367.92</v>
      </c>
      <c r="J161" s="6"/>
    </row>
    <row r="162" ht="14.25" customHeight="1">
      <c r="A162" s="7">
        <v>46109.0</v>
      </c>
      <c r="B162" s="1" t="s">
        <v>100</v>
      </c>
      <c r="C162" s="9">
        <v>80000.0</v>
      </c>
      <c r="D162" s="9"/>
      <c r="E162" s="4">
        <f t="shared" si="1"/>
        <v>21367.92</v>
      </c>
      <c r="J162" s="6"/>
    </row>
    <row r="163" ht="14.25" customHeight="1">
      <c r="A163" s="7">
        <v>46109.0</v>
      </c>
      <c r="B163" s="1" t="s">
        <v>123</v>
      </c>
      <c r="C163" s="9"/>
      <c r="D163" s="9">
        <v>150000.0</v>
      </c>
      <c r="E163" s="4">
        <f t="shared" si="1"/>
        <v>171367.92</v>
      </c>
      <c r="J163" s="6"/>
    </row>
    <row r="164" ht="14.25" customHeight="1">
      <c r="A164" s="7">
        <v>46110.0</v>
      </c>
      <c r="B164" s="1" t="s">
        <v>192</v>
      </c>
      <c r="C164" s="9"/>
      <c r="D164" s="9">
        <v>17000.0</v>
      </c>
      <c r="E164" s="4">
        <f t="shared" si="1"/>
        <v>188367.92</v>
      </c>
      <c r="J164" s="6"/>
    </row>
    <row r="165" ht="14.25" customHeight="1">
      <c r="A165" s="7">
        <v>46111.0</v>
      </c>
      <c r="B165" s="1" t="s">
        <v>148</v>
      </c>
      <c r="C165" s="9"/>
      <c r="D165" s="9">
        <v>325126.0</v>
      </c>
      <c r="E165" s="4">
        <f t="shared" si="1"/>
        <v>513493.92</v>
      </c>
      <c r="J165" s="6"/>
    </row>
    <row r="166" ht="14.25" customHeight="1">
      <c r="A166" s="7">
        <v>46111.0</v>
      </c>
      <c r="B166" s="1" t="s">
        <v>111</v>
      </c>
      <c r="C166" s="9">
        <v>3290.0</v>
      </c>
      <c r="D166" s="9"/>
      <c r="E166" s="4">
        <f t="shared" si="1"/>
        <v>510203.92</v>
      </c>
      <c r="J166" s="6"/>
    </row>
    <row r="167" ht="14.25" customHeight="1">
      <c r="A167" s="7">
        <v>46112.0</v>
      </c>
      <c r="B167" s="1" t="s">
        <v>193</v>
      </c>
      <c r="C167" s="9"/>
      <c r="D167" s="9">
        <v>35000.0</v>
      </c>
      <c r="E167" s="4">
        <f t="shared" si="1"/>
        <v>545203.92</v>
      </c>
      <c r="J167" s="6"/>
    </row>
    <row r="168" ht="14.25" customHeight="1">
      <c r="A168" s="7">
        <v>46112.0</v>
      </c>
      <c r="B168" s="1" t="s">
        <v>111</v>
      </c>
      <c r="C168" s="9">
        <v>3394.0</v>
      </c>
      <c r="D168" s="9"/>
      <c r="E168" s="4">
        <f t="shared" si="1"/>
        <v>541809.92</v>
      </c>
      <c r="J168" s="6"/>
    </row>
    <row r="169" ht="14.25" customHeight="1">
      <c r="A169" s="7">
        <v>46113.0</v>
      </c>
      <c r="B169" s="1" t="s">
        <v>194</v>
      </c>
      <c r="C169" s="9"/>
      <c r="D169" s="9"/>
      <c r="E169" s="4">
        <f t="shared" si="1"/>
        <v>541809.92</v>
      </c>
      <c r="J169" s="6"/>
    </row>
    <row r="170" ht="14.25" customHeight="1">
      <c r="A170" s="7">
        <v>46113.0</v>
      </c>
      <c r="B170" s="1" t="s">
        <v>195</v>
      </c>
      <c r="C170" s="9">
        <v>46000.0</v>
      </c>
      <c r="D170" s="9"/>
      <c r="E170" s="4">
        <f t="shared" si="1"/>
        <v>495809.92</v>
      </c>
      <c r="J170" s="6"/>
    </row>
    <row r="171" ht="14.25" customHeight="1">
      <c r="A171" s="7">
        <v>46113.0</v>
      </c>
      <c r="B171" s="1" t="s">
        <v>196</v>
      </c>
      <c r="C171" s="9">
        <v>290000.0</v>
      </c>
      <c r="D171" s="9"/>
      <c r="E171" s="4">
        <f t="shared" si="1"/>
        <v>205809.92</v>
      </c>
      <c r="J171" s="6"/>
    </row>
    <row r="172" ht="14.25" customHeight="1">
      <c r="A172" s="7">
        <v>46114.0</v>
      </c>
      <c r="B172" s="1" t="s">
        <v>164</v>
      </c>
      <c r="C172" s="9">
        <v>69900.0</v>
      </c>
      <c r="D172" s="9"/>
      <c r="E172" s="4">
        <f t="shared" si="1"/>
        <v>135909.92</v>
      </c>
      <c r="J172" s="6"/>
    </row>
    <row r="173" ht="14.25" customHeight="1">
      <c r="A173" s="7">
        <v>46115.0</v>
      </c>
      <c r="B173" s="1" t="s">
        <v>197</v>
      </c>
      <c r="C173" s="9">
        <v>42000.0</v>
      </c>
      <c r="D173" s="9"/>
      <c r="E173" s="4">
        <f t="shared" si="1"/>
        <v>93909.92</v>
      </c>
      <c r="J173" s="6"/>
    </row>
    <row r="174" ht="14.25" customHeight="1">
      <c r="A174" s="7">
        <v>46116.0</v>
      </c>
      <c r="B174" s="1" t="s">
        <v>197</v>
      </c>
      <c r="C174" s="9">
        <v>58000.0</v>
      </c>
      <c r="D174" s="9"/>
      <c r="E174" s="4">
        <f t="shared" si="1"/>
        <v>35909.92</v>
      </c>
      <c r="J174" s="6"/>
    </row>
    <row r="175" ht="14.25" customHeight="1">
      <c r="A175" s="7">
        <v>46117.0</v>
      </c>
      <c r="B175" s="1" t="s">
        <v>198</v>
      </c>
      <c r="C175" s="9">
        <v>15000.0</v>
      </c>
      <c r="D175" s="9"/>
      <c r="E175" s="4">
        <f t="shared" si="1"/>
        <v>20909.92</v>
      </c>
      <c r="J175" s="6"/>
    </row>
    <row r="176" ht="14.25" customHeight="1">
      <c r="A176" s="7">
        <v>46118.0</v>
      </c>
      <c r="B176" s="1" t="s">
        <v>111</v>
      </c>
      <c r="C176" s="9">
        <v>3202.0</v>
      </c>
      <c r="D176" s="9"/>
      <c r="E176" s="4">
        <f t="shared" si="1"/>
        <v>17707.92</v>
      </c>
      <c r="J176" s="6"/>
    </row>
    <row r="177" ht="14.25" customHeight="1">
      <c r="A177" s="7">
        <v>46118.0</v>
      </c>
      <c r="B177" s="1" t="s">
        <v>199</v>
      </c>
      <c r="C177" s="9"/>
      <c r="D177" s="9"/>
      <c r="E177" s="4">
        <f t="shared" si="1"/>
        <v>17707.92</v>
      </c>
      <c r="J177" s="6"/>
    </row>
    <row r="178" ht="14.25" customHeight="1">
      <c r="A178" s="7">
        <v>46118.0</v>
      </c>
      <c r="B178" s="1" t="s">
        <v>70</v>
      </c>
      <c r="C178" s="9"/>
      <c r="D178" s="9">
        <v>680000.0</v>
      </c>
      <c r="E178" s="4">
        <f t="shared" si="1"/>
        <v>697707.92</v>
      </c>
      <c r="J178" s="6"/>
    </row>
    <row r="179" ht="14.25" customHeight="1">
      <c r="A179" s="7">
        <v>46118.0</v>
      </c>
      <c r="B179" s="1" t="s">
        <v>200</v>
      </c>
      <c r="C179" s="9">
        <v>350000.0</v>
      </c>
      <c r="D179" s="7"/>
      <c r="E179" s="4">
        <f t="shared" si="1"/>
        <v>347707.92</v>
      </c>
      <c r="J179" s="6"/>
    </row>
    <row r="180" ht="14.25" customHeight="1">
      <c r="A180" s="7">
        <v>46119.0</v>
      </c>
      <c r="B180" s="1" t="s">
        <v>201</v>
      </c>
      <c r="C180" s="7"/>
      <c r="D180" s="9"/>
      <c r="E180" s="4">
        <f t="shared" si="1"/>
        <v>347707.92</v>
      </c>
      <c r="J180" s="6"/>
    </row>
    <row r="181" ht="14.25" customHeight="1">
      <c r="A181" s="7">
        <v>46115.0</v>
      </c>
      <c r="B181" s="1" t="s">
        <v>202</v>
      </c>
      <c r="C181" s="9"/>
      <c r="D181" s="9"/>
      <c r="E181" s="4">
        <f t="shared" si="1"/>
        <v>347707.92</v>
      </c>
      <c r="J181" s="6"/>
    </row>
    <row r="182" ht="15.75" customHeight="1">
      <c r="A182" s="7">
        <v>46118.0</v>
      </c>
      <c r="B182" s="1" t="s">
        <v>203</v>
      </c>
      <c r="C182" s="9"/>
      <c r="D182" s="9"/>
      <c r="E182" s="4">
        <f t="shared" si="1"/>
        <v>347707.92</v>
      </c>
      <c r="J182" s="6"/>
    </row>
    <row r="183" ht="15.75" customHeight="1">
      <c r="A183" s="7">
        <v>46118.0</v>
      </c>
      <c r="B183" s="1" t="s">
        <v>204</v>
      </c>
      <c r="C183" s="9"/>
      <c r="D183" s="9"/>
      <c r="E183" s="4">
        <f t="shared" si="1"/>
        <v>347707.92</v>
      </c>
      <c r="J183" s="6"/>
    </row>
    <row r="184" ht="15.75" customHeight="1">
      <c r="A184" s="7">
        <v>46118.0</v>
      </c>
      <c r="B184" s="1" t="s">
        <v>205</v>
      </c>
      <c r="C184" s="9"/>
      <c r="D184" s="9"/>
      <c r="E184" s="4">
        <f t="shared" si="1"/>
        <v>347707.92</v>
      </c>
      <c r="J184" s="6"/>
    </row>
    <row r="185" ht="15.75" customHeight="1">
      <c r="A185" s="7">
        <v>46119.0</v>
      </c>
      <c r="B185" s="1" t="s">
        <v>104</v>
      </c>
      <c r="C185" s="9"/>
      <c r="D185" s="9">
        <v>670000.0</v>
      </c>
      <c r="E185" s="4">
        <f t="shared" si="1"/>
        <v>1017707.92</v>
      </c>
      <c r="J185" s="6"/>
    </row>
    <row r="186">
      <c r="A186" s="7">
        <v>46119.0</v>
      </c>
      <c r="B186" s="1" t="s">
        <v>115</v>
      </c>
      <c r="C186" s="9">
        <v>92944.24</v>
      </c>
      <c r="D186" s="9"/>
      <c r="E186" s="4">
        <f t="shared" si="1"/>
        <v>924763.68</v>
      </c>
      <c r="J186" s="6"/>
    </row>
    <row r="187">
      <c r="A187" s="7">
        <v>46121.0</v>
      </c>
      <c r="B187" s="1" t="s">
        <v>206</v>
      </c>
      <c r="C187" s="9"/>
      <c r="D187" s="9"/>
      <c r="E187" s="4">
        <f t="shared" si="1"/>
        <v>924763.68</v>
      </c>
      <c r="J187" s="6"/>
    </row>
    <row r="188">
      <c r="A188" s="7">
        <v>46118.0</v>
      </c>
      <c r="B188" s="1" t="s">
        <v>105</v>
      </c>
      <c r="C188" s="9"/>
      <c r="D188" s="9">
        <v>360000.0</v>
      </c>
      <c r="E188" s="4">
        <f t="shared" si="1"/>
        <v>1284763.68</v>
      </c>
      <c r="J188" s="6"/>
    </row>
    <row r="189">
      <c r="A189" s="7">
        <v>46119.0</v>
      </c>
      <c r="B189" s="1" t="s">
        <v>128</v>
      </c>
      <c r="C189" s="9">
        <v>140000.0</v>
      </c>
      <c r="D189" s="9"/>
      <c r="E189" s="4">
        <f t="shared" si="1"/>
        <v>1144763.68</v>
      </c>
      <c r="J189" s="6"/>
    </row>
    <row r="190">
      <c r="A190" s="7">
        <v>46119.0</v>
      </c>
      <c r="B190" s="1" t="s">
        <v>7</v>
      </c>
      <c r="C190" s="9">
        <v>1010000.0</v>
      </c>
      <c r="D190" s="9"/>
      <c r="E190" s="4">
        <f t="shared" si="1"/>
        <v>134763.68</v>
      </c>
      <c r="J190" s="6"/>
    </row>
    <row r="191">
      <c r="A191" s="7">
        <v>46120.0</v>
      </c>
      <c r="B191" s="1" t="s">
        <v>163</v>
      </c>
      <c r="C191" s="9">
        <v>46000.0</v>
      </c>
      <c r="D191" s="9"/>
      <c r="E191" s="4">
        <f t="shared" si="1"/>
        <v>88763.68</v>
      </c>
      <c r="J191" s="6"/>
    </row>
    <row r="192">
      <c r="A192" s="7">
        <v>46121.0</v>
      </c>
      <c r="B192" s="1" t="s">
        <v>70</v>
      </c>
      <c r="C192" s="9"/>
      <c r="D192" s="9">
        <v>600000.0</v>
      </c>
      <c r="E192" s="4">
        <f t="shared" si="1"/>
        <v>688763.68</v>
      </c>
      <c r="J192" s="6"/>
    </row>
    <row r="193">
      <c r="A193" s="7">
        <v>46123.0</v>
      </c>
      <c r="B193" s="1" t="s">
        <v>105</v>
      </c>
      <c r="C193" s="9"/>
      <c r="D193" s="9">
        <v>315000.0</v>
      </c>
      <c r="E193" s="4">
        <f t="shared" si="1"/>
        <v>1003763.68</v>
      </c>
      <c r="J193" s="6"/>
    </row>
    <row r="194">
      <c r="A194" s="7">
        <v>46125.0</v>
      </c>
      <c r="B194" s="1" t="s">
        <v>207</v>
      </c>
      <c r="C194" s="9">
        <v>3390.0</v>
      </c>
      <c r="D194" s="9"/>
      <c r="E194" s="4">
        <f t="shared" si="1"/>
        <v>1000373.68</v>
      </c>
      <c r="J194" s="6"/>
    </row>
    <row r="195">
      <c r="A195" s="7">
        <v>46126.0</v>
      </c>
      <c r="B195" s="1" t="s">
        <v>198</v>
      </c>
      <c r="C195" s="9">
        <v>15000.0</v>
      </c>
      <c r="D195" s="9"/>
      <c r="E195" s="4">
        <f t="shared" si="1"/>
        <v>985373.68</v>
      </c>
      <c r="J195" s="6"/>
    </row>
    <row r="196">
      <c r="A196" s="7">
        <v>46126.0</v>
      </c>
      <c r="B196" s="1" t="s">
        <v>208</v>
      </c>
      <c r="C196" s="9">
        <v>44000.0</v>
      </c>
      <c r="D196" s="9"/>
      <c r="E196" s="4">
        <f t="shared" si="1"/>
        <v>941373.68</v>
      </c>
      <c r="J196" s="6"/>
    </row>
    <row r="197">
      <c r="A197" s="7">
        <v>46126.0</v>
      </c>
      <c r="B197" s="1" t="s">
        <v>111</v>
      </c>
      <c r="C197" s="9">
        <v>3246.0</v>
      </c>
      <c r="D197" s="9"/>
      <c r="E197" s="4">
        <f t="shared" si="1"/>
        <v>938127.68</v>
      </c>
      <c r="J197" s="6"/>
    </row>
    <row r="198">
      <c r="A198" s="7">
        <v>46127.0</v>
      </c>
      <c r="B198" s="1" t="s">
        <v>163</v>
      </c>
      <c r="C198" s="9">
        <v>46000.0</v>
      </c>
      <c r="D198" s="9"/>
      <c r="E198" s="4">
        <f t="shared" si="1"/>
        <v>892127.68</v>
      </c>
      <c r="J198" s="6"/>
    </row>
    <row r="199">
      <c r="A199" s="7">
        <v>46127.0</v>
      </c>
      <c r="B199" s="1" t="s">
        <v>209</v>
      </c>
      <c r="C199" s="9"/>
      <c r="D199" s="9"/>
      <c r="E199" s="4">
        <f t="shared" si="1"/>
        <v>892127.68</v>
      </c>
      <c r="J199" s="6"/>
    </row>
    <row r="200">
      <c r="A200" s="7">
        <v>46129.0</v>
      </c>
      <c r="B200" s="1" t="s">
        <v>210</v>
      </c>
      <c r="C200" s="9">
        <v>4400.0</v>
      </c>
      <c r="D200" s="9"/>
      <c r="E200" s="4">
        <f t="shared" si="1"/>
        <v>887727.68</v>
      </c>
      <c r="J200" s="6"/>
    </row>
    <row r="201">
      <c r="A201" s="7">
        <v>46129.0</v>
      </c>
      <c r="B201" s="1" t="s">
        <v>211</v>
      </c>
      <c r="C201" s="9">
        <v>114000.0</v>
      </c>
      <c r="D201" s="9"/>
      <c r="E201" s="4">
        <f t="shared" si="1"/>
        <v>773727.68</v>
      </c>
      <c r="J201" s="6"/>
    </row>
    <row r="202">
      <c r="A202" s="7">
        <v>46129.0</v>
      </c>
      <c r="B202" s="1" t="s">
        <v>120</v>
      </c>
      <c r="C202" s="9">
        <v>5000.0</v>
      </c>
      <c r="D202" s="9"/>
      <c r="E202" s="4">
        <f t="shared" si="1"/>
        <v>768727.68</v>
      </c>
      <c r="J202" s="6"/>
    </row>
    <row r="203">
      <c r="A203" s="7">
        <v>46132.0</v>
      </c>
      <c r="B203" s="1" t="s">
        <v>212</v>
      </c>
      <c r="C203" s="9">
        <v>36052.34</v>
      </c>
      <c r="D203" s="9"/>
      <c r="E203" s="4">
        <f t="shared" si="1"/>
        <v>732675.34</v>
      </c>
      <c r="J203" s="6"/>
    </row>
    <row r="204">
      <c r="A204" s="7">
        <v>46132.0</v>
      </c>
      <c r="B204" s="1" t="s">
        <v>213</v>
      </c>
      <c r="C204" s="9"/>
      <c r="D204" s="9"/>
      <c r="E204" s="4">
        <f t="shared" si="1"/>
        <v>732675.34</v>
      </c>
      <c r="J204" s="6"/>
    </row>
    <row r="205">
      <c r="A205" s="7">
        <v>46132.0</v>
      </c>
      <c r="B205" s="1" t="s">
        <v>134</v>
      </c>
      <c r="C205" s="9">
        <v>22708.48</v>
      </c>
      <c r="D205" s="9"/>
      <c r="E205" s="4">
        <f t="shared" si="1"/>
        <v>709966.86</v>
      </c>
      <c r="J205" s="6"/>
    </row>
    <row r="206">
      <c r="A206" s="7">
        <v>46133.0</v>
      </c>
      <c r="B206" s="1" t="s">
        <v>214</v>
      </c>
      <c r="C206" s="9"/>
      <c r="D206" s="9"/>
      <c r="E206" s="4">
        <f t="shared" si="1"/>
        <v>709966.86</v>
      </c>
      <c r="J206" s="6"/>
    </row>
    <row r="207">
      <c r="A207" s="7">
        <v>46133.0</v>
      </c>
      <c r="B207" s="1" t="s">
        <v>135</v>
      </c>
      <c r="C207" s="9">
        <v>17325.79</v>
      </c>
      <c r="D207" s="9"/>
      <c r="E207" s="4">
        <f t="shared" si="1"/>
        <v>692641.07</v>
      </c>
      <c r="J207" s="6"/>
    </row>
    <row r="208">
      <c r="A208" s="7">
        <v>46134.0</v>
      </c>
      <c r="B208" s="1" t="s">
        <v>215</v>
      </c>
      <c r="C208" s="9">
        <v>195047.03</v>
      </c>
      <c r="D208" s="9"/>
      <c r="E208" s="4">
        <f t="shared" si="1"/>
        <v>497594.04</v>
      </c>
      <c r="J208" s="6"/>
    </row>
    <row r="209">
      <c r="A209" s="7">
        <v>46137.0</v>
      </c>
      <c r="B209" s="1" t="s">
        <v>216</v>
      </c>
      <c r="C209" s="9">
        <v>84290.72</v>
      </c>
      <c r="D209" s="9"/>
      <c r="E209" s="4">
        <f t="shared" si="1"/>
        <v>413303.32</v>
      </c>
      <c r="J209" s="6"/>
    </row>
    <row r="210">
      <c r="A210" s="20">
        <v>46146.0</v>
      </c>
      <c r="B210" s="21" t="s">
        <v>217</v>
      </c>
      <c r="C210" s="22"/>
      <c r="D210" s="9"/>
      <c r="E210" s="4">
        <f t="shared" si="1"/>
        <v>413303.32</v>
      </c>
      <c r="J210" s="6"/>
    </row>
    <row r="211">
      <c r="A211" s="20">
        <v>46146.0</v>
      </c>
      <c r="B211" s="21" t="s">
        <v>138</v>
      </c>
      <c r="C211" s="22">
        <v>35759.05</v>
      </c>
      <c r="D211" s="9"/>
      <c r="E211" s="4">
        <f t="shared" si="1"/>
        <v>377544.27</v>
      </c>
      <c r="J211" s="6"/>
    </row>
    <row r="212">
      <c r="A212" s="20">
        <v>46146.0</v>
      </c>
      <c r="B212" s="21" t="s">
        <v>218</v>
      </c>
      <c r="C212" s="22"/>
      <c r="D212" s="9"/>
      <c r="E212" s="4">
        <f t="shared" si="1"/>
        <v>377544.27</v>
      </c>
      <c r="J212" s="6"/>
    </row>
    <row r="213">
      <c r="A213" s="20">
        <v>46146.0</v>
      </c>
      <c r="B213" s="21" t="s">
        <v>219</v>
      </c>
      <c r="C213" s="22"/>
      <c r="D213" s="9"/>
      <c r="E213" s="4">
        <f t="shared" si="1"/>
        <v>377544.27</v>
      </c>
      <c r="J213" s="6"/>
    </row>
    <row r="214">
      <c r="A214" s="20">
        <v>46146.0</v>
      </c>
      <c r="B214" s="21" t="s">
        <v>220</v>
      </c>
      <c r="C214" s="22">
        <v>7960.65</v>
      </c>
      <c r="D214" s="9"/>
      <c r="E214" s="4">
        <f t="shared" si="1"/>
        <v>369583.62</v>
      </c>
      <c r="J214" s="6"/>
    </row>
    <row r="215">
      <c r="A215" s="23">
        <v>46148.0</v>
      </c>
      <c r="B215" s="1" t="s">
        <v>115</v>
      </c>
      <c r="C215" s="22">
        <v>95639.62</v>
      </c>
      <c r="D215" s="9"/>
      <c r="E215" s="4">
        <f t="shared" si="1"/>
        <v>273944</v>
      </c>
      <c r="J215" s="6"/>
    </row>
    <row r="216">
      <c r="A216" s="23">
        <v>46148.0</v>
      </c>
      <c r="B216" s="1" t="s">
        <v>221</v>
      </c>
      <c r="C216" s="22"/>
      <c r="D216" s="9"/>
      <c r="E216" s="4">
        <f t="shared" si="1"/>
        <v>273944</v>
      </c>
      <c r="J216" s="6"/>
    </row>
    <row r="217">
      <c r="A217" s="23">
        <v>46150.0</v>
      </c>
      <c r="B217" s="1" t="s">
        <v>222</v>
      </c>
      <c r="C217" s="22"/>
      <c r="D217" s="9"/>
      <c r="E217" s="4">
        <f t="shared" si="1"/>
        <v>273944</v>
      </c>
      <c r="J217" s="6"/>
    </row>
    <row r="218">
      <c r="A218" s="23">
        <v>45790.0</v>
      </c>
      <c r="B218" s="1" t="s">
        <v>223</v>
      </c>
      <c r="C218" s="22"/>
      <c r="D218" s="9"/>
      <c r="E218" s="4">
        <f t="shared" si="1"/>
        <v>273944</v>
      </c>
      <c r="J218" s="6"/>
    </row>
    <row r="219">
      <c r="A219" s="23">
        <v>46162.0</v>
      </c>
      <c r="B219" s="21" t="s">
        <v>224</v>
      </c>
      <c r="C219" s="22">
        <v>136617.67</v>
      </c>
      <c r="D219" s="9"/>
      <c r="E219" s="4">
        <f t="shared" si="1"/>
        <v>137326.33</v>
      </c>
      <c r="J219" s="6"/>
    </row>
    <row r="220">
      <c r="A220" s="20">
        <v>46167.0</v>
      </c>
      <c r="B220" s="21" t="s">
        <v>225</v>
      </c>
      <c r="C220" s="22">
        <v>84290.72</v>
      </c>
      <c r="D220" s="9"/>
      <c r="E220" s="4">
        <f t="shared" si="1"/>
        <v>53035.61</v>
      </c>
      <c r="J220" s="6"/>
    </row>
    <row r="221">
      <c r="A221" s="20">
        <v>46176.0</v>
      </c>
      <c r="B221" s="21" t="s">
        <v>226</v>
      </c>
      <c r="C221" s="22">
        <v>7960.65</v>
      </c>
      <c r="D221" s="9"/>
      <c r="E221" s="4">
        <f t="shared" si="1"/>
        <v>45074.96</v>
      </c>
      <c r="J221" s="6"/>
    </row>
    <row r="222">
      <c r="A222" s="20">
        <v>46189.0</v>
      </c>
      <c r="B222" s="1" t="s">
        <v>227</v>
      </c>
      <c r="C222" s="22"/>
      <c r="D222" s="9"/>
      <c r="E222" s="4">
        <f t="shared" si="1"/>
        <v>45074.96</v>
      </c>
      <c r="J222" s="6"/>
    </row>
    <row r="223">
      <c r="A223" s="20">
        <v>46197.0</v>
      </c>
      <c r="B223" s="21" t="s">
        <v>228</v>
      </c>
      <c r="C223" s="22">
        <v>84290.72</v>
      </c>
      <c r="D223" s="9"/>
      <c r="E223" s="4">
        <f t="shared" si="1"/>
        <v>-39215.76</v>
      </c>
      <c r="J223" s="6"/>
    </row>
    <row r="224">
      <c r="A224" s="20">
        <v>46206.0</v>
      </c>
      <c r="B224" s="21" t="s">
        <v>229</v>
      </c>
      <c r="C224" s="22">
        <v>7960.65</v>
      </c>
      <c r="D224" s="9"/>
      <c r="E224" s="4">
        <f t="shared" si="1"/>
        <v>-47176.41</v>
      </c>
      <c r="J224" s="6"/>
    </row>
    <row r="225">
      <c r="A225" s="20">
        <v>46218.0</v>
      </c>
      <c r="B225" s="1" t="s">
        <v>230</v>
      </c>
      <c r="C225" s="22"/>
      <c r="D225" s="9"/>
      <c r="E225" s="4">
        <f t="shared" si="1"/>
        <v>-47176.41</v>
      </c>
      <c r="J225" s="6"/>
    </row>
    <row r="226">
      <c r="A226" s="20">
        <v>46227.0</v>
      </c>
      <c r="B226" s="21" t="s">
        <v>231</v>
      </c>
      <c r="C226" s="22">
        <v>84290.72</v>
      </c>
      <c r="D226" s="9"/>
      <c r="E226" s="4">
        <f t="shared" si="1"/>
        <v>-131467.13</v>
      </c>
      <c r="J226" s="6"/>
    </row>
    <row r="227">
      <c r="A227" s="20">
        <v>46237.0</v>
      </c>
      <c r="B227" s="21" t="s">
        <v>232</v>
      </c>
      <c r="C227" s="22">
        <v>7960.65</v>
      </c>
      <c r="D227" s="9"/>
      <c r="E227" s="4">
        <f t="shared" si="1"/>
        <v>-139427.78</v>
      </c>
      <c r="J227" s="6"/>
    </row>
    <row r="228">
      <c r="A228" s="7"/>
      <c r="B228" s="1"/>
      <c r="C228" s="9"/>
      <c r="D228" s="9"/>
      <c r="E228" s="4"/>
      <c r="J228" s="6"/>
    </row>
    <row r="229">
      <c r="A229" s="7"/>
      <c r="B229" s="1"/>
      <c r="C229" s="9"/>
      <c r="D229" s="9"/>
      <c r="E229" s="4"/>
      <c r="J229" s="6"/>
    </row>
    <row r="230">
      <c r="A230" s="7"/>
      <c r="B230" s="1" t="s">
        <v>92</v>
      </c>
      <c r="C230" s="9"/>
      <c r="D230" s="9"/>
      <c r="E230" s="4"/>
      <c r="J230" s="6"/>
    </row>
    <row r="231">
      <c r="A231" s="7"/>
      <c r="B231" s="1"/>
      <c r="C231" s="9"/>
      <c r="D231" s="9"/>
      <c r="E231" s="4"/>
      <c r="J231" s="6"/>
    </row>
    <row r="232">
      <c r="A232" s="7"/>
      <c r="B232" s="1"/>
      <c r="C232" s="9"/>
      <c r="D232" s="9"/>
      <c r="E232" s="4"/>
      <c r="J232" s="6"/>
    </row>
    <row r="233">
      <c r="A233" s="7"/>
      <c r="B233" s="1"/>
      <c r="C233" s="9"/>
      <c r="D233" s="9"/>
      <c r="E233" s="4"/>
      <c r="J233" s="6"/>
    </row>
    <row r="234">
      <c r="A234" s="7"/>
      <c r="B234" s="1"/>
      <c r="C234" s="9"/>
      <c r="D234" s="9"/>
      <c r="E234" s="4"/>
      <c r="J234" s="6"/>
    </row>
    <row r="235">
      <c r="A235" s="7"/>
      <c r="B235" s="1"/>
      <c r="C235" s="9"/>
      <c r="D235" s="9"/>
      <c r="E235" s="4"/>
      <c r="J235" s="6"/>
    </row>
    <row r="236">
      <c r="A236" s="7"/>
      <c r="B236" s="1"/>
      <c r="C236" s="9"/>
      <c r="D236" s="9"/>
      <c r="E236" s="4"/>
      <c r="J236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7.29" defaultRowHeight="15.0"/>
  <cols>
    <col customWidth="1" min="1" max="1" width="28.14"/>
    <col customWidth="1" min="2" max="2" width="15.43"/>
    <col customWidth="1" min="3" max="3" width="50.43"/>
    <col customWidth="1" min="4" max="4" width="20.86"/>
    <col customWidth="1" min="5" max="5" width="18.29"/>
  </cols>
  <sheetData>
    <row r="1">
      <c r="B1" s="24"/>
      <c r="C1" s="25"/>
      <c r="D1" s="26"/>
      <c r="E1" s="25"/>
    </row>
    <row r="2">
      <c r="B2" s="27">
        <v>45467.0</v>
      </c>
      <c r="C2" s="28" t="s">
        <v>233</v>
      </c>
      <c r="D2" s="29">
        <v>5914.05</v>
      </c>
      <c r="E2" s="25"/>
    </row>
    <row r="3">
      <c r="B3" s="27">
        <v>45476.0</v>
      </c>
      <c r="C3" s="28" t="s">
        <v>234</v>
      </c>
      <c r="D3" s="29">
        <v>35361.76</v>
      </c>
      <c r="E3" s="25"/>
    </row>
    <row r="4">
      <c r="B4" s="27">
        <v>45483.0</v>
      </c>
      <c r="C4" s="28" t="s">
        <v>135</v>
      </c>
      <c r="D4" s="29">
        <v>11855.97</v>
      </c>
      <c r="E4" s="25"/>
    </row>
    <row r="5">
      <c r="B5" s="27">
        <v>45492.0</v>
      </c>
      <c r="C5" s="28" t="s">
        <v>233</v>
      </c>
      <c r="D5" s="29">
        <v>5688.05</v>
      </c>
      <c r="E5" s="25"/>
    </row>
    <row r="6">
      <c r="B6" s="27">
        <v>45506.0</v>
      </c>
      <c r="C6" s="28" t="s">
        <v>234</v>
      </c>
      <c r="D6" s="30">
        <v>35761.64</v>
      </c>
      <c r="E6" s="25"/>
    </row>
    <row r="7">
      <c r="B7" s="27">
        <v>45511.0</v>
      </c>
      <c r="C7" s="28" t="s">
        <v>135</v>
      </c>
      <c r="D7" s="29">
        <v>14420.83</v>
      </c>
      <c r="E7" s="25"/>
    </row>
    <row r="8">
      <c r="B8" s="24"/>
      <c r="C8" s="25"/>
      <c r="D8" s="26"/>
      <c r="E8" s="25"/>
    </row>
    <row r="9">
      <c r="B9" s="24"/>
      <c r="C9" s="25"/>
      <c r="D9" s="31">
        <f>SUM(D2:D8)</f>
        <v>109002.3</v>
      </c>
      <c r="E9" s="28" t="s">
        <v>235</v>
      </c>
    </row>
    <row r="10">
      <c r="B10" s="24"/>
      <c r="C10" s="25"/>
      <c r="D10" s="26"/>
      <c r="E10" s="25"/>
    </row>
    <row r="11">
      <c r="B11" s="24"/>
      <c r="C11" s="25"/>
      <c r="D11" s="26"/>
      <c r="E11" s="25"/>
    </row>
    <row r="12">
      <c r="B12" s="27">
        <v>45540.0</v>
      </c>
      <c r="C12" s="28" t="s">
        <v>135</v>
      </c>
      <c r="D12" s="29">
        <v>16013.7</v>
      </c>
      <c r="E12" s="25"/>
    </row>
    <row r="13">
      <c r="B13" s="27">
        <v>45547.0</v>
      </c>
      <c r="C13" s="28" t="s">
        <v>236</v>
      </c>
      <c r="D13" s="30">
        <v>6338.29</v>
      </c>
      <c r="E13" s="25"/>
    </row>
    <row r="14">
      <c r="B14" s="27">
        <v>45569.0</v>
      </c>
      <c r="C14" s="28" t="s">
        <v>135</v>
      </c>
      <c r="D14" s="29">
        <v>8432.92</v>
      </c>
      <c r="E14" s="25"/>
    </row>
    <row r="15">
      <c r="B15" s="24"/>
      <c r="C15" s="25"/>
      <c r="D15" s="32">
        <f>SUM(D12:D14)</f>
        <v>30784.91</v>
      </c>
      <c r="E15" s="28" t="s">
        <v>237</v>
      </c>
    </row>
    <row r="16">
      <c r="B16" s="24"/>
      <c r="C16" s="25"/>
      <c r="D16" s="26"/>
      <c r="E16" s="25"/>
    </row>
    <row r="17">
      <c r="B17" s="33">
        <v>45573.0</v>
      </c>
      <c r="C17" s="34" t="s">
        <v>234</v>
      </c>
      <c r="D17" s="35">
        <v>3054.41</v>
      </c>
      <c r="E17" s="25"/>
    </row>
    <row r="18">
      <c r="B18" s="33">
        <v>45586.0</v>
      </c>
      <c r="C18" s="34" t="s">
        <v>238</v>
      </c>
      <c r="D18" s="30">
        <v>9555.17</v>
      </c>
      <c r="E18" s="25"/>
    </row>
    <row r="19">
      <c r="B19" s="33">
        <v>45600.0</v>
      </c>
      <c r="C19" s="34" t="s">
        <v>135</v>
      </c>
      <c r="D19" s="35">
        <v>7952.62</v>
      </c>
      <c r="E19" s="25"/>
    </row>
    <row r="20">
      <c r="B20" s="33">
        <v>45615.0</v>
      </c>
      <c r="C20" s="34" t="s">
        <v>233</v>
      </c>
      <c r="D20" s="35">
        <v>9237.59</v>
      </c>
      <c r="E20" s="25"/>
    </row>
    <row r="21">
      <c r="B21" s="33">
        <v>45624.0</v>
      </c>
      <c r="C21" s="34" t="s">
        <v>239</v>
      </c>
      <c r="D21" s="36">
        <v>18017.55</v>
      </c>
      <c r="E21" s="25"/>
    </row>
    <row r="22">
      <c r="B22" s="33">
        <v>45624.0</v>
      </c>
      <c r="C22" s="34" t="s">
        <v>240</v>
      </c>
      <c r="D22" s="36">
        <v>18893.79</v>
      </c>
      <c r="E22" s="25"/>
    </row>
    <row r="23">
      <c r="B23" s="27">
        <v>45630.0</v>
      </c>
      <c r="C23" s="28" t="s">
        <v>135</v>
      </c>
      <c r="D23" s="29">
        <v>12853.48</v>
      </c>
      <c r="E23" s="25"/>
    </row>
    <row r="24">
      <c r="B24" s="24"/>
      <c r="C24" s="25"/>
      <c r="D24" s="26"/>
      <c r="E24" s="25"/>
    </row>
    <row r="25">
      <c r="B25" s="24"/>
      <c r="C25" s="25"/>
      <c r="D25" s="32">
        <f>SUM(D17:D23)</f>
        <v>79564.61</v>
      </c>
      <c r="E25" s="28" t="s">
        <v>241</v>
      </c>
    </row>
    <row r="26">
      <c r="B26" s="7"/>
      <c r="D26" s="37"/>
    </row>
    <row r="27">
      <c r="B27" s="7"/>
      <c r="D27" s="37"/>
    </row>
    <row r="28">
      <c r="B28" s="24">
        <v>45643.0</v>
      </c>
      <c r="C28" s="28" t="s">
        <v>242</v>
      </c>
      <c r="D28" s="30">
        <v>7040.48</v>
      </c>
    </row>
    <row r="29">
      <c r="B29" s="27">
        <v>45656.0</v>
      </c>
      <c r="C29" s="28" t="s">
        <v>243</v>
      </c>
      <c r="D29" s="29">
        <v>14999.0</v>
      </c>
    </row>
    <row r="30">
      <c r="B30" s="27">
        <v>45298.0</v>
      </c>
      <c r="C30" s="28" t="s">
        <v>135</v>
      </c>
      <c r="D30" s="29">
        <v>13648.67</v>
      </c>
    </row>
    <row r="31">
      <c r="B31" s="27">
        <v>45671.0</v>
      </c>
      <c r="C31" s="28" t="s">
        <v>244</v>
      </c>
      <c r="D31" s="30">
        <v>40343.41</v>
      </c>
    </row>
    <row r="32">
      <c r="B32" s="27">
        <v>45677.0</v>
      </c>
      <c r="C32" s="28" t="s">
        <v>245</v>
      </c>
      <c r="D32" s="30">
        <v>6780.44</v>
      </c>
    </row>
    <row r="33">
      <c r="B33" s="27">
        <v>45691.0</v>
      </c>
      <c r="C33" s="28" t="s">
        <v>135</v>
      </c>
      <c r="D33" s="29">
        <v>14851.64</v>
      </c>
    </row>
    <row r="34">
      <c r="B34" s="7"/>
      <c r="D34" s="32">
        <f>SUM(D28:D32)</f>
        <v>82812</v>
      </c>
      <c r="E34" s="1" t="s">
        <v>246</v>
      </c>
    </row>
    <row r="35">
      <c r="B35" s="7"/>
      <c r="D35" s="37"/>
    </row>
    <row r="36">
      <c r="B36" s="7"/>
      <c r="D36" s="37"/>
    </row>
    <row r="37">
      <c r="B37" s="7"/>
      <c r="D37" s="37"/>
    </row>
    <row r="38">
      <c r="B38" s="27">
        <v>45702.0</v>
      </c>
      <c r="C38" s="28" t="s">
        <v>247</v>
      </c>
      <c r="D38" s="29">
        <v>39148.25</v>
      </c>
    </row>
    <row r="39">
      <c r="B39" s="27">
        <v>45705.0</v>
      </c>
      <c r="C39" s="28" t="s">
        <v>248</v>
      </c>
      <c r="D39" s="29">
        <v>6472.04</v>
      </c>
      <c r="E39" s="1" t="s">
        <v>92</v>
      </c>
    </row>
    <row r="40">
      <c r="B40" s="27">
        <v>45723.0</v>
      </c>
      <c r="C40" s="28" t="s">
        <v>135</v>
      </c>
      <c r="D40" s="29">
        <v>14076.0</v>
      </c>
      <c r="E40" s="6"/>
    </row>
    <row r="41">
      <c r="B41" s="27">
        <v>45727.0</v>
      </c>
      <c r="C41" s="28" t="s">
        <v>249</v>
      </c>
      <c r="D41" s="29">
        <v>6334.08</v>
      </c>
    </row>
    <row r="42">
      <c r="B42" s="27">
        <v>45728.0</v>
      </c>
      <c r="C42" s="28" t="s">
        <v>135</v>
      </c>
      <c r="D42" s="29">
        <v>14167.38</v>
      </c>
    </row>
    <row r="43">
      <c r="B43" s="27">
        <v>45747.0</v>
      </c>
      <c r="C43" s="28" t="s">
        <v>250</v>
      </c>
      <c r="D43" s="29">
        <v>40716.62</v>
      </c>
    </row>
    <row r="44">
      <c r="B44" s="27">
        <v>45747.0</v>
      </c>
      <c r="C44" s="28" t="s">
        <v>251</v>
      </c>
      <c r="D44" s="29">
        <v>49055.49</v>
      </c>
    </row>
    <row r="45">
      <c r="B45" s="27">
        <v>45755.0</v>
      </c>
      <c r="C45" s="28" t="s">
        <v>135</v>
      </c>
      <c r="D45" s="29">
        <v>14969.79</v>
      </c>
    </row>
    <row r="46">
      <c r="B46" s="7"/>
      <c r="D46" s="32">
        <f>SUM(D38:D45)</f>
        <v>184939.65</v>
      </c>
      <c r="E46" s="1" t="s">
        <v>246</v>
      </c>
    </row>
    <row r="47">
      <c r="B47" s="7"/>
      <c r="D47" s="37"/>
    </row>
    <row r="48">
      <c r="B48" s="38">
        <v>45768.0</v>
      </c>
      <c r="C48" s="39" t="s">
        <v>252</v>
      </c>
      <c r="D48" s="17">
        <v>5822.57</v>
      </c>
    </row>
    <row r="49">
      <c r="B49" s="38">
        <v>45785.0</v>
      </c>
      <c r="C49" s="39" t="s">
        <v>135</v>
      </c>
      <c r="D49" s="17">
        <v>15590.94</v>
      </c>
    </row>
    <row r="50">
      <c r="B50" s="38">
        <v>45786.0</v>
      </c>
      <c r="C50" s="39" t="s">
        <v>253</v>
      </c>
      <c r="D50" s="40">
        <v>59523.11</v>
      </c>
    </row>
    <row r="51">
      <c r="B51" s="38">
        <v>45796.0</v>
      </c>
      <c r="C51" s="39" t="s">
        <v>254</v>
      </c>
      <c r="D51" s="41">
        <v>5533.33</v>
      </c>
    </row>
    <row r="52">
      <c r="B52" s="7"/>
      <c r="D52" s="42">
        <f>SUM(D48:D51)</f>
        <v>86469.95</v>
      </c>
      <c r="E52" s="1" t="s">
        <v>246</v>
      </c>
    </row>
    <row r="53">
      <c r="B53" s="7"/>
      <c r="D53" s="37"/>
    </row>
    <row r="54">
      <c r="B54" s="7"/>
      <c r="D54" s="37"/>
    </row>
    <row r="55">
      <c r="B55" s="33">
        <v>45812.0</v>
      </c>
      <c r="C55" s="34" t="s">
        <v>135</v>
      </c>
      <c r="D55" s="35">
        <v>12733.33</v>
      </c>
    </row>
    <row r="56">
      <c r="B56" s="33">
        <v>45818.0</v>
      </c>
      <c r="C56" s="34" t="s">
        <v>255</v>
      </c>
      <c r="D56" s="30">
        <v>54957.56</v>
      </c>
    </row>
    <row r="57">
      <c r="B57" s="33">
        <v>45825.0</v>
      </c>
      <c r="C57" s="43" t="s">
        <v>256</v>
      </c>
      <c r="D57" s="30">
        <v>7070.08</v>
      </c>
    </row>
    <row r="58">
      <c r="B58" s="7"/>
      <c r="D58" s="42">
        <f>SUM(D54:D57)</f>
        <v>74760.97</v>
      </c>
    </row>
    <row r="59">
      <c r="B59" s="7"/>
      <c r="D59" s="37"/>
    </row>
    <row r="60">
      <c r="B60" s="7"/>
      <c r="D60" s="37"/>
    </row>
    <row r="61">
      <c r="B61" s="27">
        <v>45842.0</v>
      </c>
      <c r="C61" s="28" t="s">
        <v>257</v>
      </c>
      <c r="D61" s="29">
        <v>13925.35</v>
      </c>
      <c r="E61" s="6"/>
    </row>
    <row r="62">
      <c r="B62" s="27">
        <v>45853.0</v>
      </c>
      <c r="C62" s="28" t="s">
        <v>258</v>
      </c>
      <c r="D62" s="29">
        <v>6751.94</v>
      </c>
    </row>
    <row r="63">
      <c r="B63" s="27">
        <v>45855.0</v>
      </c>
      <c r="C63" s="28" t="s">
        <v>259</v>
      </c>
      <c r="D63" s="30">
        <v>77257.49</v>
      </c>
    </row>
    <row r="64">
      <c r="B64" s="27">
        <v>45870.0</v>
      </c>
      <c r="C64" s="28" t="s">
        <v>135</v>
      </c>
      <c r="D64" s="29">
        <v>17900.98</v>
      </c>
    </row>
    <row r="65">
      <c r="B65" s="27">
        <v>45887.0</v>
      </c>
      <c r="C65" s="28" t="s">
        <v>260</v>
      </c>
      <c r="D65" s="29">
        <v>15380.85</v>
      </c>
    </row>
    <row r="66">
      <c r="B66" s="7"/>
      <c r="D66" s="44">
        <f>SUM(D61:D65)</f>
        <v>131216.61</v>
      </c>
      <c r="E66" s="1" t="s">
        <v>246</v>
      </c>
    </row>
    <row r="67">
      <c r="B67" s="7"/>
      <c r="D67" s="37"/>
    </row>
    <row r="68">
      <c r="B68" s="7"/>
      <c r="D68" s="37"/>
    </row>
    <row r="69">
      <c r="B69" s="7"/>
      <c r="D69" s="37"/>
    </row>
    <row r="70">
      <c r="B70" s="24">
        <v>45880.0</v>
      </c>
      <c r="C70" s="45" t="s">
        <v>261</v>
      </c>
      <c r="D70" s="30">
        <v>80193.0</v>
      </c>
    </row>
    <row r="71">
      <c r="B71" s="46">
        <v>45902.0</v>
      </c>
      <c r="C71" s="34" t="s">
        <v>135</v>
      </c>
      <c r="D71" s="47">
        <v>14799.16</v>
      </c>
    </row>
    <row r="72">
      <c r="B72" s="27">
        <v>45910.0</v>
      </c>
      <c r="C72" s="28" t="s">
        <v>262</v>
      </c>
      <c r="D72" s="29">
        <v>42245.25</v>
      </c>
    </row>
    <row r="73">
      <c r="B73" s="7"/>
      <c r="D73" s="42">
        <f>SUM(D70:D72)</f>
        <v>137237.41</v>
      </c>
      <c r="E73" s="1" t="s">
        <v>263</v>
      </c>
    </row>
    <row r="74">
      <c r="B74" s="7"/>
      <c r="D74" s="37"/>
    </row>
    <row r="75">
      <c r="B75" s="33">
        <v>45915.0</v>
      </c>
      <c r="C75" s="45" t="s">
        <v>264</v>
      </c>
      <c r="D75" s="36">
        <v>15186.94</v>
      </c>
    </row>
    <row r="76">
      <c r="B76" s="46">
        <v>45930.0</v>
      </c>
      <c r="C76" s="34" t="s">
        <v>135</v>
      </c>
      <c r="D76" s="47">
        <v>28856.84</v>
      </c>
    </row>
    <row r="77">
      <c r="B77" s="33">
        <v>45939.0</v>
      </c>
      <c r="C77" s="45" t="s">
        <v>234</v>
      </c>
      <c r="D77" s="30">
        <v>42548.5</v>
      </c>
    </row>
    <row r="78">
      <c r="B78" s="7"/>
      <c r="D78" s="42">
        <f>SUM(D75:D77)</f>
        <v>86592.28</v>
      </c>
      <c r="E78" s="1" t="s">
        <v>265</v>
      </c>
    </row>
    <row r="79">
      <c r="B79" s="7"/>
      <c r="D79" s="37"/>
    </row>
    <row r="80">
      <c r="B80" s="7"/>
      <c r="D80" s="37"/>
    </row>
    <row r="81">
      <c r="B81" s="33">
        <v>45947.0</v>
      </c>
      <c r="C81" s="45" t="s">
        <v>266</v>
      </c>
      <c r="D81" s="36">
        <v>13122.2</v>
      </c>
    </row>
    <row r="82">
      <c r="B82" s="33">
        <v>45960.0</v>
      </c>
      <c r="C82" s="45" t="s">
        <v>267</v>
      </c>
      <c r="D82" s="36">
        <v>29856.15</v>
      </c>
    </row>
    <row r="83">
      <c r="B83" s="33">
        <v>45971.0</v>
      </c>
      <c r="C83" s="45" t="s">
        <v>268</v>
      </c>
      <c r="D83" s="36">
        <v>43509.38</v>
      </c>
    </row>
    <row r="84">
      <c r="B84" s="7"/>
      <c r="D84" s="42">
        <f>SUM(D81:D83)</f>
        <v>86487.73</v>
      </c>
      <c r="E84" s="1" t="s">
        <v>246</v>
      </c>
    </row>
    <row r="85">
      <c r="B85" s="7"/>
      <c r="D85" s="37"/>
    </row>
    <row r="86">
      <c r="B86" s="46">
        <v>45978.0</v>
      </c>
      <c r="C86" s="45" t="s">
        <v>264</v>
      </c>
      <c r="D86" s="30">
        <v>13194.05</v>
      </c>
    </row>
    <row r="87">
      <c r="B87" s="46">
        <v>45990.0</v>
      </c>
      <c r="C87" s="45" t="s">
        <v>269</v>
      </c>
      <c r="D87" s="47">
        <v>14224.51</v>
      </c>
    </row>
    <row r="88">
      <c r="B88" s="46">
        <v>46000.0</v>
      </c>
      <c r="C88" s="45" t="s">
        <v>243</v>
      </c>
      <c r="D88" s="30">
        <v>45029.0</v>
      </c>
    </row>
    <row r="89">
      <c r="B89" s="48">
        <v>46006.0</v>
      </c>
      <c r="C89" s="15" t="s">
        <v>270</v>
      </c>
      <c r="D89" s="30">
        <v>9487.37</v>
      </c>
    </row>
    <row r="90">
      <c r="B90" s="48">
        <v>46023.0</v>
      </c>
      <c r="C90" s="49" t="s">
        <v>101</v>
      </c>
      <c r="D90" s="30">
        <v>15312.8</v>
      </c>
    </row>
    <row r="91">
      <c r="B91" s="48">
        <v>46031.0</v>
      </c>
      <c r="C91" s="15" t="s">
        <v>271</v>
      </c>
      <c r="D91" s="30">
        <v>46679.87</v>
      </c>
    </row>
    <row r="92">
      <c r="B92" s="7">
        <v>46038.0</v>
      </c>
      <c r="C92" s="1" t="s">
        <v>130</v>
      </c>
      <c r="D92" s="30">
        <v>9196.59</v>
      </c>
    </row>
    <row r="93">
      <c r="B93" s="7">
        <v>46043.0</v>
      </c>
      <c r="C93" s="1" t="s">
        <v>135</v>
      </c>
      <c r="D93" s="9">
        <v>13807.79</v>
      </c>
    </row>
    <row r="94">
      <c r="B94" s="7"/>
      <c r="D94" s="42">
        <f>SUM(D86:D93)</f>
        <v>166931.98</v>
      </c>
      <c r="E94" s="1" t="s">
        <v>246</v>
      </c>
    </row>
    <row r="95">
      <c r="B95" s="7"/>
      <c r="D95" s="37"/>
    </row>
    <row r="96">
      <c r="B96" s="7"/>
      <c r="D96" s="37"/>
    </row>
    <row r="97">
      <c r="B97" s="7">
        <v>46062.0</v>
      </c>
      <c r="C97" s="1" t="s">
        <v>152</v>
      </c>
      <c r="D97" s="41">
        <v>47979.87</v>
      </c>
    </row>
    <row r="98">
      <c r="B98" s="7">
        <v>46071.0</v>
      </c>
      <c r="C98" s="1" t="s">
        <v>157</v>
      </c>
      <c r="D98" s="41">
        <v>8366.82</v>
      </c>
    </row>
    <row r="99">
      <c r="B99" s="7">
        <v>46073.0</v>
      </c>
      <c r="C99" s="1" t="s">
        <v>135</v>
      </c>
      <c r="D99" s="9">
        <v>26034.93</v>
      </c>
    </row>
    <row r="100">
      <c r="B100" s="7">
        <v>46091.0</v>
      </c>
      <c r="C100" s="1" t="s">
        <v>272</v>
      </c>
      <c r="D100" s="9">
        <v>56793.0</v>
      </c>
    </row>
    <row r="101">
      <c r="B101" s="7">
        <v>46099.0</v>
      </c>
      <c r="C101" s="1" t="s">
        <v>181</v>
      </c>
      <c r="D101" s="9">
        <v>8426.21</v>
      </c>
    </row>
    <row r="102">
      <c r="B102" s="7"/>
      <c r="D102" s="42">
        <f>SUM(D97:D101)</f>
        <v>147600.83</v>
      </c>
      <c r="E102" s="1" t="s">
        <v>246</v>
      </c>
    </row>
    <row r="103">
      <c r="B103" s="7"/>
      <c r="D103" s="37"/>
    </row>
    <row r="104">
      <c r="B104" s="7">
        <v>46106.0</v>
      </c>
      <c r="C104" s="1" t="s">
        <v>135</v>
      </c>
      <c r="D104" s="9">
        <v>22667.07</v>
      </c>
    </row>
    <row r="105">
      <c r="B105" s="7">
        <v>46121.0</v>
      </c>
      <c r="C105" s="1" t="s">
        <v>206</v>
      </c>
      <c r="D105" s="41">
        <v>56793.0</v>
      </c>
    </row>
    <row r="106">
      <c r="B106" s="7"/>
      <c r="D106" s="37"/>
    </row>
    <row r="107">
      <c r="B107" s="7"/>
      <c r="D107" s="37"/>
    </row>
    <row r="108">
      <c r="B108" s="7"/>
      <c r="D108" s="37"/>
    </row>
    <row r="109">
      <c r="B109" s="7"/>
      <c r="D109" s="37"/>
    </row>
    <row r="110">
      <c r="B110" s="7"/>
      <c r="D110" s="37"/>
    </row>
    <row r="111">
      <c r="B111" s="7"/>
      <c r="D111" s="37"/>
    </row>
    <row r="112">
      <c r="B112" s="7"/>
      <c r="D112" s="37"/>
    </row>
    <row r="113">
      <c r="B113" s="7"/>
      <c r="D113" s="37"/>
    </row>
    <row r="114">
      <c r="B114" s="7"/>
      <c r="D114" s="37"/>
    </row>
    <row r="115">
      <c r="B115" s="7"/>
      <c r="D115" s="37"/>
    </row>
    <row r="116">
      <c r="B116" s="7"/>
      <c r="D116" s="37"/>
    </row>
    <row r="117">
      <c r="B117" s="7"/>
      <c r="D117" s="37"/>
    </row>
    <row r="118">
      <c r="B118" s="7"/>
      <c r="D118" s="37"/>
    </row>
    <row r="119">
      <c r="B119" s="7"/>
      <c r="D119" s="37"/>
    </row>
    <row r="120">
      <c r="B120" s="7"/>
      <c r="D120" s="37"/>
    </row>
    <row r="121">
      <c r="B121" s="7"/>
      <c r="D121" s="37"/>
    </row>
    <row r="122">
      <c r="B122" s="7"/>
      <c r="D122" s="37"/>
    </row>
    <row r="123">
      <c r="B123" s="7"/>
      <c r="D123" s="37"/>
    </row>
    <row r="124">
      <c r="B124" s="7"/>
      <c r="D124" s="37"/>
    </row>
    <row r="125">
      <c r="B125" s="7"/>
      <c r="D125" s="37"/>
    </row>
    <row r="126">
      <c r="B126" s="7"/>
      <c r="D126" s="37"/>
    </row>
    <row r="127">
      <c r="B127" s="7"/>
      <c r="D127" s="37"/>
    </row>
    <row r="128">
      <c r="B128" s="7"/>
      <c r="D128" s="37"/>
    </row>
    <row r="129">
      <c r="B129" s="7"/>
      <c r="D129" s="37"/>
    </row>
    <row r="130">
      <c r="B130" s="7"/>
      <c r="D130" s="37"/>
    </row>
    <row r="131">
      <c r="B131" s="7"/>
      <c r="D131" s="37"/>
    </row>
    <row r="132">
      <c r="B132" s="7"/>
      <c r="D132" s="37"/>
    </row>
    <row r="133">
      <c r="B133" s="7"/>
      <c r="D133" s="37"/>
    </row>
    <row r="134">
      <c r="B134" s="7"/>
      <c r="D134" s="37"/>
    </row>
    <row r="135">
      <c r="B135" s="7"/>
      <c r="D135" s="37"/>
    </row>
    <row r="136">
      <c r="B136" s="7"/>
      <c r="D136" s="37"/>
    </row>
    <row r="137">
      <c r="B137" s="7"/>
      <c r="D137" s="37"/>
    </row>
    <row r="138">
      <c r="B138" s="7"/>
      <c r="D138" s="37"/>
    </row>
    <row r="139">
      <c r="B139" s="7"/>
      <c r="D139" s="37"/>
    </row>
    <row r="140">
      <c r="B140" s="7"/>
      <c r="D140" s="37"/>
    </row>
    <row r="141">
      <c r="B141" s="7"/>
      <c r="D141" s="37"/>
    </row>
    <row r="142">
      <c r="B142" s="7"/>
      <c r="D142" s="37"/>
    </row>
    <row r="143">
      <c r="B143" s="7"/>
      <c r="D143" s="37"/>
    </row>
    <row r="144">
      <c r="B144" s="7"/>
      <c r="D144" s="37"/>
    </row>
    <row r="145">
      <c r="B145" s="7"/>
      <c r="D145" s="37"/>
    </row>
    <row r="146">
      <c r="B146" s="7"/>
      <c r="D146" s="37"/>
    </row>
    <row r="147">
      <c r="B147" s="7"/>
      <c r="D147" s="37"/>
    </row>
    <row r="148">
      <c r="B148" s="7"/>
      <c r="D148" s="37"/>
    </row>
    <row r="149">
      <c r="B149" s="7"/>
      <c r="D149" s="37"/>
    </row>
    <row r="150">
      <c r="B150" s="7"/>
      <c r="D150" s="37"/>
    </row>
    <row r="151">
      <c r="B151" s="7"/>
      <c r="D151" s="37"/>
    </row>
    <row r="152">
      <c r="B152" s="7"/>
      <c r="D152" s="37"/>
    </row>
    <row r="153">
      <c r="B153" s="7"/>
      <c r="D153" s="37"/>
    </row>
    <row r="154">
      <c r="B154" s="7"/>
      <c r="D154" s="37"/>
    </row>
    <row r="155">
      <c r="B155" s="7"/>
      <c r="D155" s="37"/>
    </row>
    <row r="156">
      <c r="B156" s="7"/>
      <c r="D156" s="37"/>
    </row>
    <row r="157">
      <c r="B157" s="7"/>
      <c r="D157" s="37"/>
    </row>
    <row r="158">
      <c r="B158" s="7"/>
      <c r="D158" s="37"/>
    </row>
    <row r="159">
      <c r="B159" s="7"/>
      <c r="D159" s="37"/>
    </row>
    <row r="160">
      <c r="B160" s="7"/>
      <c r="D160" s="37"/>
    </row>
    <row r="161">
      <c r="B161" s="7"/>
      <c r="D161" s="37"/>
    </row>
    <row r="162">
      <c r="B162" s="7"/>
      <c r="D162" s="37"/>
    </row>
    <row r="163">
      <c r="B163" s="7"/>
      <c r="D163" s="37"/>
    </row>
    <row r="164">
      <c r="B164" s="7"/>
      <c r="D164" s="37"/>
    </row>
    <row r="165">
      <c r="B165" s="7"/>
      <c r="D165" s="37"/>
    </row>
    <row r="166">
      <c r="B166" s="7"/>
      <c r="D166" s="37"/>
    </row>
    <row r="167">
      <c r="B167" s="7"/>
      <c r="D167" s="37"/>
    </row>
    <row r="168">
      <c r="B168" s="7"/>
      <c r="D168" s="37"/>
    </row>
    <row r="169">
      <c r="B169" s="7"/>
      <c r="D169" s="37"/>
    </row>
    <row r="170">
      <c r="B170" s="7"/>
      <c r="D170" s="37"/>
    </row>
    <row r="171">
      <c r="B171" s="7"/>
      <c r="D171" s="37"/>
    </row>
    <row r="172">
      <c r="B172" s="7"/>
      <c r="D172" s="37"/>
    </row>
    <row r="173">
      <c r="B173" s="7"/>
      <c r="D173" s="37"/>
    </row>
    <row r="174">
      <c r="B174" s="7"/>
      <c r="D174" s="37"/>
    </row>
    <row r="175">
      <c r="B175" s="7"/>
      <c r="D175" s="37"/>
    </row>
    <row r="176">
      <c r="B176" s="7"/>
      <c r="D176" s="37"/>
    </row>
    <row r="177">
      <c r="B177" s="7"/>
      <c r="D177" s="37"/>
    </row>
    <row r="178">
      <c r="B178" s="7"/>
      <c r="D178" s="37"/>
    </row>
    <row r="179">
      <c r="B179" s="7"/>
      <c r="D179" s="37"/>
    </row>
    <row r="180">
      <c r="B180" s="7"/>
      <c r="D180" s="37"/>
    </row>
    <row r="181">
      <c r="B181" s="7"/>
      <c r="D181" s="37"/>
    </row>
    <row r="182">
      <c r="B182" s="7"/>
      <c r="D182" s="37"/>
    </row>
    <row r="183">
      <c r="B183" s="7"/>
      <c r="D183" s="37"/>
    </row>
    <row r="184">
      <c r="B184" s="7"/>
      <c r="D184" s="37"/>
    </row>
    <row r="185">
      <c r="B185" s="7"/>
      <c r="D185" s="37"/>
    </row>
    <row r="186">
      <c r="B186" s="7"/>
      <c r="D186" s="37"/>
    </row>
    <row r="187">
      <c r="B187" s="7"/>
      <c r="D187" s="37"/>
    </row>
    <row r="188">
      <c r="B188" s="7"/>
      <c r="D188" s="37"/>
    </row>
    <row r="189">
      <c r="B189" s="7"/>
      <c r="D189" s="37"/>
    </row>
    <row r="190">
      <c r="B190" s="7"/>
      <c r="D190" s="37"/>
    </row>
    <row r="191">
      <c r="B191" s="7"/>
      <c r="D191" s="37"/>
    </row>
    <row r="192">
      <c r="B192" s="7"/>
      <c r="D192" s="37"/>
    </row>
    <row r="193">
      <c r="B193" s="7"/>
      <c r="D193" s="37"/>
    </row>
    <row r="194">
      <c r="B194" s="7"/>
      <c r="D194" s="37"/>
    </row>
    <row r="195">
      <c r="B195" s="7"/>
      <c r="D195" s="37"/>
    </row>
    <row r="196">
      <c r="B196" s="7"/>
      <c r="D196" s="37"/>
    </row>
    <row r="197">
      <c r="B197" s="7"/>
      <c r="D197" s="37"/>
    </row>
    <row r="198">
      <c r="B198" s="7"/>
      <c r="D198" s="37"/>
    </row>
    <row r="199">
      <c r="B199" s="7"/>
      <c r="D199" s="37"/>
    </row>
    <row r="200">
      <c r="B200" s="7"/>
      <c r="D200" s="37"/>
    </row>
    <row r="201">
      <c r="B201" s="7"/>
      <c r="D201" s="37"/>
    </row>
    <row r="202">
      <c r="B202" s="7"/>
      <c r="D202" s="37"/>
    </row>
    <row r="203">
      <c r="B203" s="7"/>
      <c r="D203" s="37"/>
    </row>
    <row r="204">
      <c r="B204" s="7"/>
      <c r="D204" s="37"/>
    </row>
    <row r="205">
      <c r="B205" s="7"/>
      <c r="D205" s="37"/>
    </row>
    <row r="206">
      <c r="B206" s="7"/>
      <c r="D206" s="37"/>
    </row>
    <row r="207">
      <c r="B207" s="7"/>
      <c r="D207" s="37"/>
    </row>
    <row r="208">
      <c r="B208" s="7"/>
      <c r="D208" s="37"/>
    </row>
    <row r="209">
      <c r="B209" s="7"/>
      <c r="D209" s="37"/>
    </row>
    <row r="210">
      <c r="B210" s="7"/>
      <c r="D210" s="37"/>
    </row>
    <row r="211">
      <c r="B211" s="7"/>
      <c r="D211" s="37"/>
    </row>
    <row r="212">
      <c r="B212" s="7"/>
      <c r="D212" s="37"/>
    </row>
    <row r="213">
      <c r="B213" s="7"/>
      <c r="D213" s="37"/>
    </row>
    <row r="214">
      <c r="B214" s="7"/>
      <c r="D214" s="37"/>
    </row>
    <row r="215">
      <c r="B215" s="7"/>
      <c r="D215" s="37"/>
    </row>
    <row r="216">
      <c r="B216" s="7"/>
      <c r="D216" s="37"/>
    </row>
    <row r="217">
      <c r="B217" s="7"/>
      <c r="D217" s="37"/>
    </row>
    <row r="218">
      <c r="B218" s="7"/>
      <c r="D218" s="37"/>
    </row>
    <row r="219">
      <c r="B219" s="7"/>
      <c r="D219" s="37"/>
    </row>
    <row r="220">
      <c r="B220" s="7"/>
      <c r="D220" s="37"/>
    </row>
    <row r="221">
      <c r="B221" s="7"/>
      <c r="D221" s="37"/>
    </row>
    <row r="222">
      <c r="B222" s="7"/>
      <c r="D222" s="37"/>
    </row>
    <row r="223">
      <c r="B223" s="7"/>
      <c r="D223" s="37"/>
    </row>
    <row r="224">
      <c r="B224" s="7"/>
      <c r="D224" s="37"/>
    </row>
    <row r="225">
      <c r="B225" s="7"/>
      <c r="D225" s="37"/>
    </row>
    <row r="226">
      <c r="B226" s="7"/>
      <c r="D226" s="37"/>
    </row>
    <row r="227">
      <c r="B227" s="7"/>
      <c r="D227" s="37"/>
    </row>
    <row r="228">
      <c r="B228" s="7"/>
      <c r="D228" s="37"/>
    </row>
    <row r="229">
      <c r="B229" s="7"/>
      <c r="D229" s="37"/>
    </row>
    <row r="230">
      <c r="B230" s="7"/>
      <c r="D230" s="37"/>
    </row>
    <row r="231">
      <c r="B231" s="7"/>
      <c r="D231" s="37"/>
    </row>
    <row r="232">
      <c r="B232" s="7"/>
      <c r="D232" s="37"/>
    </row>
    <row r="233">
      <c r="B233" s="7"/>
      <c r="D233" s="37"/>
    </row>
    <row r="234">
      <c r="B234" s="7"/>
      <c r="D234" s="37"/>
    </row>
    <row r="235">
      <c r="B235" s="7"/>
      <c r="D235" s="37"/>
    </row>
    <row r="236">
      <c r="B236" s="7"/>
      <c r="D236" s="37"/>
    </row>
    <row r="237">
      <c r="B237" s="7"/>
      <c r="D237" s="37"/>
    </row>
    <row r="238">
      <c r="B238" s="7"/>
      <c r="D238" s="37"/>
    </row>
    <row r="239">
      <c r="B239" s="7"/>
      <c r="D239" s="37"/>
    </row>
    <row r="240">
      <c r="B240" s="7"/>
      <c r="D240" s="37"/>
    </row>
    <row r="241">
      <c r="B241" s="7"/>
      <c r="D241" s="37"/>
    </row>
    <row r="242">
      <c r="B242" s="7"/>
      <c r="D242" s="37"/>
    </row>
    <row r="243">
      <c r="B243" s="7"/>
      <c r="D243" s="37"/>
    </row>
    <row r="244">
      <c r="B244" s="7"/>
      <c r="D244" s="37"/>
    </row>
    <row r="245">
      <c r="B245" s="7"/>
      <c r="D245" s="37"/>
    </row>
    <row r="246">
      <c r="B246" s="7"/>
      <c r="D246" s="37"/>
    </row>
    <row r="247">
      <c r="B247" s="7"/>
      <c r="D247" s="37"/>
    </row>
    <row r="248">
      <c r="B248" s="7"/>
      <c r="D248" s="37"/>
    </row>
    <row r="249">
      <c r="B249" s="7"/>
      <c r="D249" s="37"/>
    </row>
    <row r="250">
      <c r="B250" s="7"/>
      <c r="D250" s="37"/>
    </row>
    <row r="251">
      <c r="B251" s="7"/>
      <c r="D251" s="37"/>
    </row>
    <row r="252">
      <c r="B252" s="7"/>
      <c r="D252" s="37"/>
    </row>
    <row r="253">
      <c r="B253" s="7"/>
      <c r="D253" s="37"/>
    </row>
    <row r="254">
      <c r="B254" s="7"/>
      <c r="D254" s="37"/>
    </row>
    <row r="255">
      <c r="B255" s="7"/>
      <c r="D255" s="37"/>
    </row>
    <row r="256">
      <c r="B256" s="7"/>
      <c r="D256" s="37"/>
    </row>
    <row r="257">
      <c r="B257" s="7"/>
      <c r="D257" s="37"/>
    </row>
    <row r="258">
      <c r="B258" s="7"/>
      <c r="D258" s="37"/>
    </row>
    <row r="259">
      <c r="B259" s="7"/>
      <c r="D259" s="37"/>
    </row>
    <row r="260">
      <c r="B260" s="7"/>
      <c r="D260" s="37"/>
    </row>
    <row r="261">
      <c r="B261" s="7"/>
      <c r="D261" s="37"/>
    </row>
    <row r="262">
      <c r="B262" s="7"/>
      <c r="D262" s="37"/>
    </row>
    <row r="263">
      <c r="B263" s="7"/>
      <c r="D263" s="37"/>
    </row>
    <row r="264">
      <c r="B264" s="7"/>
      <c r="D264" s="37"/>
    </row>
    <row r="265">
      <c r="B265" s="7"/>
      <c r="D265" s="37"/>
    </row>
    <row r="266">
      <c r="B266" s="7"/>
      <c r="D266" s="37"/>
    </row>
    <row r="267">
      <c r="B267" s="7"/>
      <c r="D267" s="37"/>
    </row>
    <row r="268">
      <c r="B268" s="7"/>
      <c r="D268" s="37"/>
    </row>
    <row r="269">
      <c r="B269" s="7"/>
      <c r="D269" s="37"/>
    </row>
    <row r="270">
      <c r="B270" s="7"/>
      <c r="D270" s="37"/>
    </row>
    <row r="271">
      <c r="B271" s="7"/>
      <c r="D271" s="37"/>
    </row>
    <row r="272">
      <c r="B272" s="7"/>
      <c r="D272" s="37"/>
    </row>
    <row r="273">
      <c r="B273" s="7"/>
      <c r="D273" s="37"/>
    </row>
    <row r="274">
      <c r="B274" s="7"/>
      <c r="D274" s="37"/>
    </row>
    <row r="275">
      <c r="B275" s="7"/>
      <c r="D275" s="37"/>
    </row>
    <row r="276">
      <c r="B276" s="7"/>
      <c r="D276" s="37"/>
    </row>
    <row r="277">
      <c r="B277" s="7"/>
      <c r="D277" s="37"/>
    </row>
    <row r="278">
      <c r="B278" s="7"/>
      <c r="D278" s="37"/>
    </row>
    <row r="279">
      <c r="B279" s="7"/>
      <c r="D279" s="37"/>
    </row>
    <row r="280">
      <c r="B280" s="7"/>
      <c r="D280" s="37"/>
    </row>
    <row r="281">
      <c r="B281" s="7"/>
      <c r="D281" s="37"/>
    </row>
    <row r="282">
      <c r="B282" s="7"/>
      <c r="D282" s="37"/>
    </row>
    <row r="283">
      <c r="B283" s="7"/>
      <c r="D283" s="37"/>
    </row>
    <row r="284">
      <c r="B284" s="7"/>
      <c r="D284" s="37"/>
    </row>
    <row r="285">
      <c r="B285" s="7"/>
      <c r="D285" s="37"/>
    </row>
    <row r="286">
      <c r="B286" s="7"/>
      <c r="D286" s="37"/>
    </row>
    <row r="287">
      <c r="B287" s="7"/>
      <c r="D287" s="37"/>
    </row>
    <row r="288">
      <c r="B288" s="7"/>
      <c r="D288" s="37"/>
    </row>
    <row r="289">
      <c r="B289" s="7"/>
      <c r="D289" s="37"/>
    </row>
    <row r="290">
      <c r="B290" s="7"/>
      <c r="D290" s="37"/>
    </row>
    <row r="291">
      <c r="B291" s="7"/>
      <c r="D291" s="37"/>
    </row>
    <row r="292">
      <c r="B292" s="7"/>
      <c r="D292" s="37"/>
    </row>
    <row r="293">
      <c r="B293" s="7"/>
      <c r="D293" s="37"/>
    </row>
    <row r="294">
      <c r="B294" s="7"/>
      <c r="D294" s="37"/>
    </row>
    <row r="295">
      <c r="B295" s="7"/>
      <c r="D295" s="37"/>
    </row>
    <row r="296">
      <c r="B296" s="7"/>
      <c r="D296" s="37"/>
    </row>
    <row r="297">
      <c r="B297" s="7"/>
      <c r="D297" s="37"/>
    </row>
    <row r="298">
      <c r="B298" s="7"/>
      <c r="D298" s="37"/>
    </row>
    <row r="299">
      <c r="B299" s="7"/>
      <c r="D299" s="37"/>
    </row>
    <row r="300">
      <c r="B300" s="7"/>
      <c r="D300" s="37"/>
    </row>
    <row r="301">
      <c r="B301" s="7"/>
      <c r="D301" s="37"/>
    </row>
    <row r="302">
      <c r="B302" s="7"/>
      <c r="D302" s="37"/>
    </row>
    <row r="303">
      <c r="B303" s="7"/>
      <c r="D303" s="37"/>
    </row>
    <row r="304">
      <c r="B304" s="7"/>
      <c r="D304" s="37"/>
    </row>
    <row r="305">
      <c r="B305" s="7"/>
      <c r="D305" s="37"/>
    </row>
    <row r="306">
      <c r="B306" s="7"/>
      <c r="D306" s="37"/>
    </row>
    <row r="307">
      <c r="B307" s="7"/>
      <c r="D307" s="37"/>
    </row>
    <row r="308">
      <c r="B308" s="7"/>
      <c r="D308" s="37"/>
    </row>
    <row r="309">
      <c r="B309" s="7"/>
      <c r="D309" s="37"/>
    </row>
    <row r="310">
      <c r="B310" s="7"/>
      <c r="D310" s="37"/>
    </row>
    <row r="311">
      <c r="B311" s="7"/>
      <c r="D311" s="37"/>
    </row>
    <row r="312">
      <c r="B312" s="7"/>
      <c r="D312" s="37"/>
    </row>
    <row r="313">
      <c r="B313" s="7"/>
      <c r="D313" s="37"/>
    </row>
    <row r="314">
      <c r="B314" s="7"/>
      <c r="D314" s="37"/>
    </row>
    <row r="315">
      <c r="B315" s="7"/>
      <c r="D315" s="37"/>
    </row>
    <row r="316">
      <c r="B316" s="7"/>
      <c r="D316" s="37"/>
    </row>
    <row r="317">
      <c r="B317" s="7"/>
      <c r="D317" s="37"/>
    </row>
    <row r="318">
      <c r="B318" s="7"/>
      <c r="D318" s="37"/>
    </row>
    <row r="319">
      <c r="B319" s="7"/>
      <c r="D319" s="37"/>
    </row>
    <row r="320">
      <c r="B320" s="7"/>
      <c r="D320" s="37"/>
    </row>
    <row r="321">
      <c r="B321" s="7"/>
      <c r="D321" s="37"/>
    </row>
    <row r="322">
      <c r="B322" s="7"/>
      <c r="D322" s="37"/>
    </row>
    <row r="323">
      <c r="B323" s="7"/>
      <c r="D323" s="37"/>
    </row>
    <row r="324">
      <c r="B324" s="7"/>
      <c r="D324" s="37"/>
    </row>
    <row r="325">
      <c r="B325" s="7"/>
      <c r="D325" s="37"/>
    </row>
    <row r="326">
      <c r="B326" s="7"/>
      <c r="D326" s="37"/>
    </row>
    <row r="327">
      <c r="B327" s="7"/>
      <c r="D327" s="37"/>
    </row>
    <row r="328">
      <c r="B328" s="7"/>
      <c r="D328" s="37"/>
    </row>
  </sheetData>
  <printOptions gridLines="1" horizontalCentered="1"/>
  <pageMargins bottom="0.75" footer="0.0" header="0.0" left="0.7" right="0.7" top="0.75"/>
  <pageSetup fitToHeight="0" paperSize="14" cellComments="atEnd" orientation="portrait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cols>
    <col customWidth="1" min="3" max="3" width="47.43"/>
  </cols>
  <sheetData>
    <row r="2">
      <c r="E2" s="50" t="s">
        <v>92</v>
      </c>
    </row>
    <row r="3">
      <c r="A3" s="51"/>
      <c r="B3" s="51">
        <v>42373.0</v>
      </c>
      <c r="C3" s="52" t="s">
        <v>273</v>
      </c>
      <c r="D3" s="53">
        <v>823.6</v>
      </c>
      <c r="E3" s="50" t="s">
        <v>246</v>
      </c>
    </row>
    <row r="4">
      <c r="A4" s="51"/>
      <c r="B4" s="51">
        <v>42373.0</v>
      </c>
      <c r="C4" s="52" t="s">
        <v>274</v>
      </c>
      <c r="D4" s="53">
        <v>123.25</v>
      </c>
      <c r="E4" s="50" t="s">
        <v>246</v>
      </c>
    </row>
    <row r="5">
      <c r="A5" s="51"/>
      <c r="B5" s="51">
        <v>42403.0</v>
      </c>
      <c r="C5" s="54" t="s">
        <v>275</v>
      </c>
      <c r="D5" s="53">
        <v>62.13</v>
      </c>
      <c r="E5" s="50" t="s">
        <v>246</v>
      </c>
      <c r="G5" s="50" t="s">
        <v>276</v>
      </c>
      <c r="H5" s="50" t="s">
        <v>277</v>
      </c>
    </row>
    <row r="6">
      <c r="A6" s="51"/>
      <c r="B6" s="51">
        <v>42405.0</v>
      </c>
      <c r="C6" s="54" t="s">
        <v>278</v>
      </c>
      <c r="D6" s="53">
        <v>823.6</v>
      </c>
      <c r="E6" s="50" t="s">
        <v>246</v>
      </c>
      <c r="F6" s="50">
        <v>1.0</v>
      </c>
      <c r="G6" s="50">
        <v>823.6</v>
      </c>
    </row>
    <row r="7">
      <c r="B7" s="55">
        <v>42436.0</v>
      </c>
      <c r="C7" s="56" t="s">
        <v>278</v>
      </c>
      <c r="D7" s="53">
        <v>823.6</v>
      </c>
      <c r="E7" s="50" t="s">
        <v>246</v>
      </c>
      <c r="F7" s="50">
        <v>2.0</v>
      </c>
      <c r="G7" s="50">
        <v>823.6</v>
      </c>
    </row>
    <row r="8">
      <c r="B8" s="55">
        <v>42444.0</v>
      </c>
      <c r="C8" s="54" t="s">
        <v>279</v>
      </c>
      <c r="D8" s="53">
        <v>310.71</v>
      </c>
      <c r="E8" s="50" t="s">
        <v>246</v>
      </c>
      <c r="F8" s="50">
        <v>3.0</v>
      </c>
      <c r="G8" s="50">
        <v>823.6</v>
      </c>
      <c r="H8" s="50">
        <v>310.71</v>
      </c>
    </row>
    <row r="9">
      <c r="B9" s="55">
        <v>42450.0</v>
      </c>
      <c r="C9" s="54" t="s">
        <v>280</v>
      </c>
      <c r="D9" s="53">
        <v>182.66</v>
      </c>
      <c r="E9" s="50" t="s">
        <v>246</v>
      </c>
      <c r="F9" s="50">
        <v>4.0</v>
      </c>
      <c r="G9" s="50">
        <v>823.6</v>
      </c>
    </row>
    <row r="10">
      <c r="B10" s="55">
        <v>42466.0</v>
      </c>
      <c r="C10" s="54" t="s">
        <v>278</v>
      </c>
      <c r="D10" s="53">
        <v>823.6</v>
      </c>
      <c r="E10" s="53" t="s">
        <v>246</v>
      </c>
      <c r="F10" s="50">
        <v>5.0</v>
      </c>
      <c r="G10" s="50">
        <v>823.6</v>
      </c>
      <c r="H10" s="50">
        <v>1312.08</v>
      </c>
    </row>
    <row r="11">
      <c r="B11" s="55">
        <v>42467.0</v>
      </c>
      <c r="C11" s="54" t="s">
        <v>275</v>
      </c>
      <c r="D11" s="53">
        <v>36.38</v>
      </c>
      <c r="E11" s="50" t="s">
        <v>246</v>
      </c>
      <c r="F11" s="50">
        <v>6.0</v>
      </c>
      <c r="G11" s="50">
        <v>823.6</v>
      </c>
    </row>
    <row r="12">
      <c r="B12" s="55">
        <v>42480.0</v>
      </c>
      <c r="C12" s="54" t="s">
        <v>281</v>
      </c>
      <c r="D12" s="53">
        <v>136.19</v>
      </c>
      <c r="E12" s="53" t="s">
        <v>246</v>
      </c>
      <c r="F12" s="50">
        <v>7.0</v>
      </c>
      <c r="G12" s="50">
        <v>823.6</v>
      </c>
      <c r="H12" s="50">
        <v>1312.08</v>
      </c>
    </row>
    <row r="13">
      <c r="B13" s="55"/>
      <c r="C13" s="50"/>
      <c r="D13" s="53"/>
      <c r="F13" s="50">
        <v>8.0</v>
      </c>
      <c r="G13" s="50">
        <v>823.6</v>
      </c>
    </row>
    <row r="14">
      <c r="B14" s="57">
        <v>42491.0</v>
      </c>
      <c r="C14" s="58" t="s">
        <v>282</v>
      </c>
      <c r="D14" s="59">
        <v>1200.0</v>
      </c>
      <c r="F14" s="50">
        <v>9.0</v>
      </c>
      <c r="G14" s="50">
        <v>823.6</v>
      </c>
      <c r="H14" s="50">
        <v>1312.08</v>
      </c>
    </row>
    <row r="15">
      <c r="B15" s="57">
        <v>42496.0</v>
      </c>
      <c r="C15" s="60" t="s">
        <v>278</v>
      </c>
      <c r="D15" s="59">
        <v>823.6</v>
      </c>
      <c r="F15" s="50">
        <v>10.0</v>
      </c>
      <c r="G15" s="50">
        <v>823.6</v>
      </c>
    </row>
    <row r="16">
      <c r="B16" s="57">
        <v>42508.0</v>
      </c>
      <c r="C16" s="60" t="s">
        <v>279</v>
      </c>
      <c r="D16" s="59">
        <v>1312.08</v>
      </c>
      <c r="F16" s="50">
        <v>11.0</v>
      </c>
      <c r="G16" s="50">
        <v>823.6</v>
      </c>
      <c r="H16" s="50">
        <v>1312.08</v>
      </c>
    </row>
    <row r="17">
      <c r="B17" s="57">
        <v>42508.0</v>
      </c>
      <c r="C17" s="61" t="s">
        <v>281</v>
      </c>
      <c r="D17" s="59">
        <v>158.96</v>
      </c>
      <c r="F17" s="50">
        <v>12.0</v>
      </c>
      <c r="G17" s="50">
        <v>823.6</v>
      </c>
    </row>
    <row r="18">
      <c r="B18" s="57">
        <v>42510.0</v>
      </c>
      <c r="C18" s="60" t="s">
        <v>280</v>
      </c>
      <c r="D18" s="59">
        <v>179.82</v>
      </c>
      <c r="F18" s="50">
        <v>1.0</v>
      </c>
      <c r="G18" s="50">
        <v>1170.67</v>
      </c>
      <c r="H18" s="50">
        <v>1312.08</v>
      </c>
    </row>
    <row r="19">
      <c r="B19" s="57">
        <v>42520.0</v>
      </c>
      <c r="C19" s="60" t="s">
        <v>275</v>
      </c>
      <c r="D19" s="59">
        <v>149.05</v>
      </c>
      <c r="F19" s="50">
        <v>2.0</v>
      </c>
      <c r="G19" s="50">
        <v>1136.57</v>
      </c>
    </row>
    <row r="20">
      <c r="B20" s="57"/>
      <c r="C20" s="58"/>
      <c r="D20" s="62">
        <f>SUM(D14:D19)</f>
        <v>3823.51</v>
      </c>
      <c r="F20" s="50">
        <v>3.0</v>
      </c>
      <c r="G20" s="50">
        <v>1136.57</v>
      </c>
      <c r="H20" s="50">
        <v>1312.08</v>
      </c>
    </row>
    <row r="21">
      <c r="B21" s="57"/>
      <c r="C21" s="58"/>
      <c r="D21" s="59"/>
      <c r="F21" s="50">
        <v>4.0</v>
      </c>
      <c r="G21" s="50">
        <v>1136.57</v>
      </c>
    </row>
    <row r="22">
      <c r="B22" s="57">
        <v>42522.0</v>
      </c>
      <c r="C22" s="58" t="s">
        <v>283</v>
      </c>
      <c r="D22" s="59">
        <v>1200.0</v>
      </c>
      <c r="F22" s="50">
        <v>5.0</v>
      </c>
      <c r="G22" s="50">
        <v>1136.57</v>
      </c>
      <c r="H22" s="50">
        <v>1312.08</v>
      </c>
    </row>
    <row r="23" ht="14.25" customHeight="1">
      <c r="B23" s="57">
        <v>42527.0</v>
      </c>
      <c r="C23" s="60" t="s">
        <v>278</v>
      </c>
      <c r="D23" s="59">
        <v>823.6</v>
      </c>
      <c r="F23" s="50">
        <v>6.0</v>
      </c>
      <c r="G23" s="50">
        <v>1136.57</v>
      </c>
    </row>
    <row r="24">
      <c r="B24" s="57"/>
      <c r="C24" s="58"/>
      <c r="D24" s="62">
        <f>SUM(D22:D23)</f>
        <v>2023.6</v>
      </c>
      <c r="F24" s="50">
        <v>7.0</v>
      </c>
      <c r="G24" s="50">
        <v>1136.57</v>
      </c>
      <c r="H24" s="50">
        <v>1613.88</v>
      </c>
    </row>
    <row r="25">
      <c r="B25" s="57"/>
      <c r="C25" s="58"/>
      <c r="D25" s="59"/>
      <c r="F25" s="50">
        <v>8.0</v>
      </c>
      <c r="G25" s="50">
        <v>1136.57</v>
      </c>
    </row>
    <row r="26">
      <c r="B26" s="57">
        <v>42552.0</v>
      </c>
      <c r="C26" s="58" t="s">
        <v>284</v>
      </c>
      <c r="D26" s="59">
        <v>1200.0</v>
      </c>
      <c r="F26" s="50">
        <v>9.0</v>
      </c>
      <c r="G26" s="50">
        <v>1136.57</v>
      </c>
      <c r="H26" s="50">
        <v>1613.88</v>
      </c>
    </row>
    <row r="27">
      <c r="B27" s="57">
        <v>42557.0</v>
      </c>
      <c r="C27" s="60" t="s">
        <v>278</v>
      </c>
      <c r="D27" s="59">
        <v>823.6</v>
      </c>
    </row>
    <row r="28">
      <c r="B28" s="57">
        <v>42566.0</v>
      </c>
      <c r="C28" s="60" t="s">
        <v>279</v>
      </c>
      <c r="D28" s="59">
        <v>1312.08</v>
      </c>
    </row>
    <row r="29">
      <c r="B29" s="57">
        <v>42571.0</v>
      </c>
      <c r="C29" s="60" t="s">
        <v>280</v>
      </c>
      <c r="D29" s="59">
        <v>234.28</v>
      </c>
    </row>
    <row r="30">
      <c r="B30" s="57">
        <v>42572.0</v>
      </c>
      <c r="C30" s="63" t="s">
        <v>285</v>
      </c>
      <c r="D30" s="59">
        <v>97.52</v>
      </c>
    </row>
    <row r="31">
      <c r="B31" s="57"/>
      <c r="C31" s="64"/>
      <c r="D31" s="62">
        <f>SUM(D26:D30)</f>
        <v>3667.48</v>
      </c>
    </row>
    <row r="32">
      <c r="B32" s="57"/>
      <c r="C32" s="64"/>
      <c r="D32" s="59"/>
    </row>
    <row r="33">
      <c r="B33" s="57">
        <v>42587.0</v>
      </c>
      <c r="C33" s="60" t="s">
        <v>278</v>
      </c>
      <c r="D33" s="59">
        <v>823.6</v>
      </c>
    </row>
    <row r="34">
      <c r="B34" s="57">
        <v>42605.0</v>
      </c>
      <c r="C34" s="61" t="s">
        <v>281</v>
      </c>
      <c r="D34" s="59">
        <v>224.93</v>
      </c>
    </row>
    <row r="35">
      <c r="B35" s="65"/>
      <c r="C35" s="65"/>
      <c r="D35" s="62">
        <f>SUM(D33:D34)</f>
        <v>1048.53</v>
      </c>
    </row>
    <row r="36">
      <c r="B36" s="57"/>
      <c r="C36" s="66"/>
      <c r="D36" s="59"/>
    </row>
    <row r="37">
      <c r="B37" s="57">
        <v>42619.0</v>
      </c>
      <c r="C37" s="60" t="s">
        <v>278</v>
      </c>
      <c r="D37" s="59">
        <v>823.6</v>
      </c>
    </row>
    <row r="38">
      <c r="B38" s="57">
        <v>42627.0</v>
      </c>
      <c r="C38" s="60" t="s">
        <v>279</v>
      </c>
      <c r="D38" s="59">
        <v>1312.08</v>
      </c>
    </row>
    <row r="39">
      <c r="B39" s="57">
        <v>42633.0</v>
      </c>
      <c r="C39" s="60" t="s">
        <v>281</v>
      </c>
      <c r="D39" s="59">
        <v>232.46</v>
      </c>
    </row>
    <row r="40">
      <c r="B40" s="57">
        <v>42633.0</v>
      </c>
      <c r="C40" s="64" t="s">
        <v>274</v>
      </c>
      <c r="D40" s="59">
        <v>249.3</v>
      </c>
    </row>
    <row r="41">
      <c r="B41" s="65"/>
      <c r="C41" s="65"/>
      <c r="D41" s="67">
        <f>SUM(D37:D40)</f>
        <v>2617.44</v>
      </c>
    </row>
    <row r="42">
      <c r="B42" s="57"/>
      <c r="C42" s="66"/>
      <c r="D42" s="68"/>
    </row>
    <row r="43">
      <c r="B43" s="57">
        <v>42649.0</v>
      </c>
      <c r="C43" s="60" t="s">
        <v>278</v>
      </c>
      <c r="D43" s="68">
        <v>823.6</v>
      </c>
    </row>
    <row r="44">
      <c r="B44" s="57">
        <v>42662.0</v>
      </c>
      <c r="C44" s="58" t="s">
        <v>285</v>
      </c>
      <c r="D44" s="68">
        <v>181.25</v>
      </c>
    </row>
    <row r="45">
      <c r="B45" s="57">
        <v>42674.0</v>
      </c>
      <c r="C45" s="58" t="s">
        <v>286</v>
      </c>
      <c r="D45" s="68">
        <v>500.0</v>
      </c>
      <c r="E45" s="50" t="s">
        <v>92</v>
      </c>
    </row>
    <row r="46">
      <c r="B46" s="65"/>
      <c r="C46" s="65"/>
      <c r="D46" s="69">
        <f>SUM(D43:D44)</f>
        <v>1004.85</v>
      </c>
    </row>
    <row r="47">
      <c r="B47" s="70"/>
      <c r="C47" s="58"/>
      <c r="D47" s="68"/>
    </row>
    <row r="48">
      <c r="B48" s="70">
        <v>42681.0</v>
      </c>
      <c r="C48" s="58" t="s">
        <v>273</v>
      </c>
      <c r="D48" s="68">
        <v>823.6</v>
      </c>
    </row>
    <row r="49">
      <c r="B49" s="70">
        <v>42688.0</v>
      </c>
      <c r="C49" s="58" t="s">
        <v>287</v>
      </c>
      <c r="D49" s="68">
        <v>1312.08</v>
      </c>
    </row>
    <row r="50">
      <c r="B50" s="70">
        <v>42691.0</v>
      </c>
      <c r="C50" s="58" t="s">
        <v>285</v>
      </c>
      <c r="D50" s="68">
        <v>188.2</v>
      </c>
    </row>
    <row r="51">
      <c r="B51" s="57">
        <v>42695.0</v>
      </c>
      <c r="C51" s="71" t="s">
        <v>280</v>
      </c>
      <c r="D51" s="68">
        <v>180.79</v>
      </c>
    </row>
    <row r="52">
      <c r="B52" s="57">
        <v>42704.0</v>
      </c>
      <c r="C52" s="71" t="s">
        <v>275</v>
      </c>
      <c r="D52" s="68">
        <v>20.75</v>
      </c>
    </row>
    <row r="53">
      <c r="B53" s="65"/>
      <c r="C53" s="65"/>
      <c r="D53" s="69">
        <f>SUM(D48:D51)</f>
        <v>2504.67</v>
      </c>
    </row>
    <row r="55">
      <c r="B55" s="57">
        <v>42710.0</v>
      </c>
      <c r="C55" s="71" t="s">
        <v>278</v>
      </c>
      <c r="D55" s="68">
        <v>823.6</v>
      </c>
    </row>
    <row r="56">
      <c r="B56" s="57">
        <v>42725.0</v>
      </c>
      <c r="C56" s="58" t="s">
        <v>281</v>
      </c>
      <c r="D56" s="68">
        <v>74.49</v>
      </c>
    </row>
    <row r="57">
      <c r="B57" s="57">
        <v>42734.0</v>
      </c>
      <c r="C57" s="71" t="s">
        <v>275</v>
      </c>
      <c r="D57" s="68">
        <v>20.75</v>
      </c>
    </row>
    <row r="58">
      <c r="D58" s="69">
        <f>SUM(D55:D57)</f>
        <v>918.84</v>
      </c>
    </row>
    <row r="60">
      <c r="B60" s="57">
        <v>42741.0</v>
      </c>
      <c r="C60" s="71" t="s">
        <v>278</v>
      </c>
      <c r="D60" s="68">
        <v>1170.67</v>
      </c>
    </row>
    <row r="61">
      <c r="B61" s="57">
        <v>42748.0</v>
      </c>
      <c r="C61" s="71" t="s">
        <v>279</v>
      </c>
      <c r="D61" s="68">
        <v>1312.08</v>
      </c>
    </row>
    <row r="62">
      <c r="B62" s="57">
        <v>42751.0</v>
      </c>
      <c r="C62" s="71" t="s">
        <v>275</v>
      </c>
      <c r="D62" s="68">
        <v>16.17</v>
      </c>
    </row>
    <row r="63">
      <c r="B63" s="57">
        <v>42753.0</v>
      </c>
      <c r="C63" s="71" t="s">
        <v>281</v>
      </c>
      <c r="D63" s="68">
        <v>78.17</v>
      </c>
    </row>
    <row r="64">
      <c r="B64" s="57">
        <v>42755.0</v>
      </c>
      <c r="C64" s="71" t="s">
        <v>280</v>
      </c>
      <c r="D64" s="68">
        <v>121.2</v>
      </c>
    </row>
    <row r="65">
      <c r="D65" s="69">
        <f>SUM(D60:D64)</f>
        <v>2698.29</v>
      </c>
    </row>
    <row r="67">
      <c r="B67" s="51">
        <v>42772.0</v>
      </c>
      <c r="C67" s="72" t="s">
        <v>278</v>
      </c>
      <c r="D67" s="73">
        <v>1136.57</v>
      </c>
    </row>
    <row r="68">
      <c r="B68" s="51">
        <v>42775.0</v>
      </c>
      <c r="C68" s="72" t="s">
        <v>275</v>
      </c>
      <c r="D68" s="73">
        <v>38.4</v>
      </c>
    </row>
    <row r="69">
      <c r="B69" s="51">
        <v>42779.0</v>
      </c>
      <c r="C69" s="72" t="s">
        <v>275</v>
      </c>
      <c r="D69" s="73">
        <v>16.17</v>
      </c>
    </row>
    <row r="70">
      <c r="B70" s="51">
        <v>42786.0</v>
      </c>
      <c r="C70" s="74" t="s">
        <v>281</v>
      </c>
      <c r="D70" s="73">
        <v>159.54</v>
      </c>
    </row>
    <row r="71">
      <c r="D71" s="69">
        <f>SUM(D67:D70)</f>
        <v>1350.68</v>
      </c>
    </row>
    <row r="73">
      <c r="B73" s="51">
        <v>42800.0</v>
      </c>
      <c r="C73" s="74" t="s">
        <v>278</v>
      </c>
      <c r="D73" s="73">
        <v>1136.57</v>
      </c>
    </row>
    <row r="74">
      <c r="B74" s="51">
        <v>42807.0</v>
      </c>
      <c r="C74" s="75" t="s">
        <v>275</v>
      </c>
      <c r="D74" s="73">
        <v>38.4</v>
      </c>
    </row>
    <row r="75">
      <c r="B75" s="51">
        <v>42810.0</v>
      </c>
      <c r="C75" s="74" t="s">
        <v>279</v>
      </c>
      <c r="D75" s="73">
        <v>1312.08</v>
      </c>
    </row>
    <row r="76">
      <c r="B76" s="51">
        <v>42815.0</v>
      </c>
      <c r="C76" s="72" t="s">
        <v>280</v>
      </c>
      <c r="D76" s="73">
        <v>143.04</v>
      </c>
    </row>
    <row r="77">
      <c r="B77" s="51">
        <v>42821.0</v>
      </c>
      <c r="C77" s="72" t="s">
        <v>275</v>
      </c>
      <c r="D77" s="73">
        <v>66.77</v>
      </c>
    </row>
    <row r="78">
      <c r="B78" s="51">
        <v>42825.0</v>
      </c>
      <c r="C78" s="72" t="s">
        <v>281</v>
      </c>
      <c r="D78" s="73">
        <v>162.08</v>
      </c>
    </row>
    <row r="79">
      <c r="D79" s="69">
        <f>SUM(D73:D77)</f>
        <v>2696.86</v>
      </c>
      <c r="E79" s="50" t="s">
        <v>246</v>
      </c>
    </row>
    <row r="81">
      <c r="B81" s="51">
        <v>42830.0</v>
      </c>
      <c r="C81" s="50" t="s">
        <v>273</v>
      </c>
      <c r="D81" s="73">
        <v>1136.57</v>
      </c>
    </row>
    <row r="82">
      <c r="B82" s="51">
        <v>42849.0</v>
      </c>
      <c r="C82" s="50" t="s">
        <v>288</v>
      </c>
      <c r="D82" s="73">
        <v>58.1</v>
      </c>
    </row>
    <row r="83">
      <c r="B83" s="51">
        <v>42851.0</v>
      </c>
      <c r="C83" s="50" t="s">
        <v>288</v>
      </c>
      <c r="D83" s="73">
        <v>66.77</v>
      </c>
    </row>
    <row r="85">
      <c r="D85" s="69">
        <f>SUM(D81:D83)</f>
        <v>1261.44</v>
      </c>
    </row>
  </sheetData>
  <hyperlinks>
    <hyperlink r:id="rId1" ref="C5"/>
    <hyperlink r:id="rId2" ref="C6"/>
    <hyperlink r:id="rId3" ref="C7"/>
    <hyperlink r:id="rId4" ref="C8"/>
    <hyperlink r:id="rId5" ref="C9"/>
    <hyperlink r:id="rId6" ref="C10"/>
    <hyperlink r:id="rId7" ref="C11"/>
    <hyperlink r:id="rId8" ref="C12"/>
    <hyperlink r:id="rId9" ref="C15"/>
    <hyperlink r:id="rId10" ref="C16"/>
    <hyperlink r:id="rId11" ref="C17"/>
    <hyperlink r:id="rId12" ref="C18"/>
    <hyperlink r:id="rId13" ref="C19"/>
    <hyperlink r:id="rId14" ref="C23"/>
    <hyperlink r:id="rId15" ref="C27"/>
    <hyperlink r:id="rId16" ref="C28"/>
    <hyperlink r:id="rId17" ref="C29"/>
    <hyperlink r:id="rId18" ref="C33"/>
    <hyperlink r:id="rId19" ref="C34"/>
    <hyperlink r:id="rId20" ref="C37"/>
    <hyperlink r:id="rId21" ref="C38"/>
    <hyperlink r:id="rId22" ref="C39"/>
    <hyperlink r:id="rId23" ref="C43"/>
    <hyperlink r:id="rId24" ref="C51"/>
    <hyperlink r:id="rId25" ref="C52"/>
    <hyperlink r:id="rId26" ref="C55"/>
    <hyperlink r:id="rId27" ref="C57"/>
    <hyperlink r:id="rId28" ref="C60"/>
    <hyperlink r:id="rId29" ref="C61"/>
    <hyperlink r:id="rId30" ref="C62"/>
    <hyperlink r:id="rId31" ref="C63"/>
    <hyperlink r:id="rId32" ref="C64"/>
    <hyperlink r:id="rId33" ref="C67"/>
    <hyperlink r:id="rId34" ref="C68"/>
    <hyperlink r:id="rId35" ref="C69"/>
    <hyperlink r:id="rId36" ref="C70"/>
    <hyperlink r:id="rId37" ref="C73"/>
    <hyperlink r:id="rId38" ref="C74"/>
    <hyperlink r:id="rId39" ref="C75"/>
    <hyperlink r:id="rId40" ref="C76"/>
    <hyperlink r:id="rId41" ref="C77"/>
    <hyperlink r:id="rId42" ref="C78"/>
  </hyperlinks>
  <drawing r:id="rId43"/>
</worksheet>
</file>