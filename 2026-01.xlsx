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pacitacion\InSoft\Balance360\Balance360\"/>
    </mc:Choice>
  </mc:AlternateContent>
  <xr:revisionPtr revIDLastSave="0" documentId="13_ncr:1_{19198AAA-A41C-4EC0-81D9-2EA6FC58A475}" xr6:coauthVersionLast="47" xr6:coauthVersionMax="47" xr10:uidLastSave="{00000000-0000-0000-0000-000000000000}"/>
  <bookViews>
    <workbookView xWindow="28680" yWindow="-2460" windowWidth="29040" windowHeight="15720" xr2:uid="{00000000-000D-0000-FFFF-FFFF00000000}"/>
  </bookViews>
  <sheets>
    <sheet name="Banco Frances (ARS)" sheetId="1" r:id="rId1"/>
    <sheet name="Banco Ciudad (ARS)" sheetId="2" r:id="rId2"/>
    <sheet name="MP" sheetId="3" r:id="rId3"/>
    <sheet name="TIA" sheetId="4" r:id="rId4"/>
    <sheet name="Viej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D85" i="5"/>
  <c r="D79" i="5"/>
  <c r="D71" i="5"/>
  <c r="D65" i="5"/>
  <c r="D58" i="5"/>
  <c r="D53" i="5"/>
  <c r="D46" i="5"/>
  <c r="D41" i="5"/>
  <c r="D35" i="5"/>
  <c r="D31" i="5"/>
  <c r="D24" i="5"/>
  <c r="D20" i="5"/>
  <c r="D111" i="4"/>
  <c r="D102" i="4"/>
  <c r="D94" i="4"/>
  <c r="D84" i="4"/>
  <c r="D78" i="4"/>
  <c r="D73" i="4"/>
  <c r="D66" i="4"/>
  <c r="D58" i="4"/>
  <c r="D52" i="4"/>
  <c r="D46" i="4"/>
  <c r="D34" i="4"/>
  <c r="D25" i="4"/>
  <c r="D15" i="4"/>
  <c r="D9" i="4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H24" i="2"/>
  <c r="H26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G152" i="1"/>
  <c r="F145" i="1"/>
  <c r="F144" i="1"/>
  <c r="F139" i="1"/>
  <c r="F138" i="1"/>
  <c r="F137" i="1"/>
  <c r="F136" i="1"/>
  <c r="F135" i="1"/>
  <c r="F134" i="1"/>
  <c r="F132" i="1"/>
  <c r="F131" i="1"/>
  <c r="F129" i="1"/>
  <c r="F128" i="1"/>
  <c r="F126" i="1"/>
  <c r="F125" i="1"/>
  <c r="F152" i="1" s="1"/>
  <c r="C119" i="1"/>
  <c r="C118" i="1"/>
  <c r="F117" i="1"/>
  <c r="C115" i="1"/>
  <c r="C107" i="1"/>
  <c r="C106" i="1"/>
  <c r="C103" i="1"/>
  <c r="C87" i="1"/>
  <c r="C82" i="1"/>
  <c r="C77" i="1"/>
  <c r="C59" i="1"/>
  <c r="C52" i="1"/>
  <c r="C47" i="1"/>
  <c r="C45" i="1"/>
  <c r="D35" i="1"/>
  <c r="C35" i="1" s="1"/>
  <c r="C27" i="1"/>
  <c r="C23" i="1"/>
  <c r="C19" i="1"/>
  <c r="C13" i="1"/>
  <c r="C10" i="1"/>
  <c r="C9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C2" i="1"/>
  <c r="E35" i="1" l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</calcChain>
</file>

<file path=xl/sharedStrings.xml><?xml version="1.0" encoding="utf-8"?>
<sst xmlns="http://schemas.openxmlformats.org/spreadsheetml/2006/main" count="775" uniqueCount="362">
  <si>
    <t>Fecha</t>
  </si>
  <si>
    <t>Descripcion</t>
  </si>
  <si>
    <t>Debito</t>
  </si>
  <si>
    <t>Credito</t>
  </si>
  <si>
    <t>Saldo</t>
  </si>
  <si>
    <t>U$S</t>
  </si>
  <si>
    <t>AOMA AWS + SignReady + Autofiller + Semaforo + Hotmail</t>
  </si>
  <si>
    <t>al ciudad</t>
  </si>
  <si>
    <t>Prosegur</t>
  </si>
  <si>
    <t xml:space="preserve">honorarios ciudad </t>
  </si>
  <si>
    <t>VISA Frances</t>
  </si>
  <si>
    <t>de mp</t>
  </si>
  <si>
    <t>devolucion VISA</t>
  </si>
  <si>
    <t>AOMA Compus Secretariado</t>
  </si>
  <si>
    <t>AOMA Notebooks Maxi y materiales reparacion notebooks</t>
  </si>
  <si>
    <t xml:space="preserve">devolucion prestamo chelo </t>
  </si>
  <si>
    <t>AOMA Compus Secretariado Fullh4rd + Notebooks Maxi</t>
  </si>
  <si>
    <t xml:space="preserve">AOMA Diferencia  Compus Secretariado - descontamos NC </t>
  </si>
  <si>
    <t>AOMA Compus Secretariado AIR</t>
  </si>
  <si>
    <t>Moratoria autonomos 4/60</t>
  </si>
  <si>
    <t>AIR coolers</t>
  </si>
  <si>
    <t>aoma compus seccional bsas</t>
  </si>
  <si>
    <t>Venex compus aoma seccional bsas</t>
  </si>
  <si>
    <t>a mp</t>
  </si>
  <si>
    <t>AOMA Notebooks Maxi</t>
  </si>
  <si>
    <t>AIR AOMA Notebooks MAxi</t>
  </si>
  <si>
    <t>Sircreb</t>
  </si>
  <si>
    <t xml:space="preserve">compra U$S MEP 1014= U$S 0.6032 c/u AL30 </t>
  </si>
  <si>
    <t>SIRCREb</t>
  </si>
  <si>
    <t>AOMA 2 compus y 1 notebook</t>
  </si>
  <si>
    <t xml:space="preserve">AIR AOMA   </t>
  </si>
  <si>
    <t>Venex AOMA</t>
  </si>
  <si>
    <t>reintegro promo</t>
  </si>
  <si>
    <t>Moratoria autonomos 5/60</t>
  </si>
  <si>
    <t>venex</t>
  </si>
  <si>
    <t>Devolucion VISA</t>
  </si>
  <si>
    <t>AOMA UPS's</t>
  </si>
  <si>
    <t>AOMA SSD</t>
  </si>
  <si>
    <t>AIR UPS y SSD</t>
  </si>
  <si>
    <t>Alquileres Venezuela</t>
  </si>
  <si>
    <t xml:space="preserve">compra U$S MEP 1842= U$S 0.6073 c/u AL30 </t>
  </si>
  <si>
    <t>AOMA Impresora y Notebook</t>
  </si>
  <si>
    <t>Venex</t>
  </si>
  <si>
    <t>Claudio Prestamo</t>
  </si>
  <si>
    <t>AIR Notebook $ 1,156,611.23</t>
  </si>
  <si>
    <t>sircreb</t>
  </si>
  <si>
    <t xml:space="preserve">compra U$S MEP 1710= U$S 0.6103 c/u AL30 </t>
  </si>
  <si>
    <t>deposito</t>
  </si>
  <si>
    <t>Moratoria autonomos 6/60</t>
  </si>
  <si>
    <t>compra comida</t>
  </si>
  <si>
    <t>Claudio Venezuela</t>
  </si>
  <si>
    <t>comision</t>
  </si>
  <si>
    <t>AOMA Compu hig y seg</t>
  </si>
  <si>
    <t>AIR compu AOMA</t>
  </si>
  <si>
    <t>AOMA NAS y HDS</t>
  </si>
  <si>
    <t>AIR NAS y HDs AOMA</t>
  </si>
  <si>
    <t xml:space="preserve">compra  780= U$S 0.73 c/u AL41 </t>
  </si>
  <si>
    <t>del ciudad</t>
  </si>
  <si>
    <t xml:space="preserve">compra  838= U$S 0.864 c/u GD38D </t>
  </si>
  <si>
    <t>Moratoria autonomos 7/60</t>
  </si>
  <si>
    <t>venta 1670= U$S 0.642 AL30</t>
  </si>
  <si>
    <t>Claudio debe U$S 1400</t>
  </si>
  <si>
    <t>Pago Tarjeta Claudio</t>
  </si>
  <si>
    <t>venta 112= U$S 0.63 AL30</t>
  </si>
  <si>
    <t>AOMA Renovacion NIC</t>
  </si>
  <si>
    <t>venta 446= U$S 0.63 AL30</t>
  </si>
  <si>
    <t>Claudio debe U$S 1680</t>
  </si>
  <si>
    <t>Expensas Claudio</t>
  </si>
  <si>
    <t>Alquileres Venezuela Claudio debe $ 300.000</t>
  </si>
  <si>
    <t>Claudio debe U$S 1890  ($2.300.000)</t>
  </si>
  <si>
    <t>prestamo chulino</t>
  </si>
  <si>
    <t>AOMA SSD CuestaF</t>
  </si>
  <si>
    <t>Liquidacion alquileres Venezuela Claudio $ 560.000</t>
  </si>
  <si>
    <t>Claudio debe ($1.740.000)</t>
  </si>
  <si>
    <t>Moratoria autonomos 8/60</t>
  </si>
  <si>
    <t>compra 359  = U$S 0.967 AO28</t>
  </si>
  <si>
    <t>compra 344  = U$S 0.79 AL35</t>
  </si>
  <si>
    <t>compra 373  = U$S 0.364 DICP</t>
  </si>
  <si>
    <t>compra 422  = U$S 0.81 AL35</t>
  </si>
  <si>
    <t>compra 142 = U$S 0.966 AO28</t>
  </si>
  <si>
    <t>compra 475 = U$S 0.645 AL30</t>
  </si>
  <si>
    <t>compra 466 = U$S 0.368 DICP</t>
  </si>
  <si>
    <t>Devolucion prestamo Claudio</t>
  </si>
  <si>
    <t>Claudio Pago</t>
  </si>
  <si>
    <t>compra 154= U$S 0.890 GD38</t>
  </si>
  <si>
    <t>compra 70= U$S 0.976 AO28</t>
  </si>
  <si>
    <t>compra 105= U$S 0.977 AO28</t>
  </si>
  <si>
    <t>compra 169= U$S 0.816 AL35</t>
  </si>
  <si>
    <t>compra 421= U$S 0.649 AL30</t>
  </si>
  <si>
    <t>compra 180= U$S 0.766 AL41</t>
  </si>
  <si>
    <t>Moratoria autonomos 9/60</t>
  </si>
  <si>
    <t>Laura Prieto compu</t>
  </si>
  <si>
    <t>Venex compu laura prieto</t>
  </si>
  <si>
    <t>compra 206= U$S 0.649 AL30</t>
  </si>
  <si>
    <t>compra 305= U$S 0.772 AL41</t>
  </si>
  <si>
    <t>Interes</t>
  </si>
  <si>
    <t>Interes Mensual</t>
  </si>
  <si>
    <t>Alquiler Venezuela DANTE</t>
  </si>
  <si>
    <t>Alquiler Venezuela Claudio</t>
  </si>
  <si>
    <t>AOMA Abono</t>
  </si>
  <si>
    <t>del frances</t>
  </si>
  <si>
    <t>VISA ciudad</t>
  </si>
  <si>
    <t>Honorarios Frances</t>
  </si>
  <si>
    <t>ABL Aroma 16/18</t>
  </si>
  <si>
    <t>Patente 3008 16/18</t>
  </si>
  <si>
    <t>ABL Venezuela 16/18</t>
  </si>
  <si>
    <t>alquileres Venezuela Bichongo</t>
  </si>
  <si>
    <t>AOMA Arreglo notebooks Maxi</t>
  </si>
  <si>
    <t>compra dolares U$S</t>
  </si>
  <si>
    <t>AOMA Adicionales</t>
  </si>
  <si>
    <t>Sueldo Gaby</t>
  </si>
  <si>
    <t>chino Monotributo</t>
  </si>
  <si>
    <t>ABL Aroma 17/18</t>
  </si>
  <si>
    <t>Fullh4rd</t>
  </si>
  <si>
    <t>Air</t>
  </si>
  <si>
    <t>Limerick</t>
  </si>
  <si>
    <t>Patente 3008 17/18</t>
  </si>
  <si>
    <t>ABL Venezuela 17/18</t>
  </si>
  <si>
    <t>AOMA Diferencia Abono</t>
  </si>
  <si>
    <t>compu Juan Silvana</t>
  </si>
  <si>
    <t>Lucio amigo chulino</t>
  </si>
  <si>
    <t>Impresora y varios Gustavo Marilu</t>
  </si>
  <si>
    <t xml:space="preserve"> </t>
  </si>
  <si>
    <t>reintegro modo</t>
  </si>
  <si>
    <t>ABL Aroma 18/18</t>
  </si>
  <si>
    <t>Patente 3008 18/18</t>
  </si>
  <si>
    <t>ABL Venezuela 18/18</t>
  </si>
  <si>
    <t>VEP Jubilacion Gaby</t>
  </si>
  <si>
    <t>Cristina Meilan</t>
  </si>
  <si>
    <t>modo</t>
  </si>
  <si>
    <t>al frances</t>
  </si>
  <si>
    <t>senra</t>
  </si>
  <si>
    <t>Cumpra U$S 100</t>
  </si>
  <si>
    <t>Pochi</t>
  </si>
  <si>
    <t>Nembrini Ema Noemi</t>
  </si>
  <si>
    <t>Abogada V.gomez expensas</t>
  </si>
  <si>
    <t>V.Gomez expensas</t>
  </si>
  <si>
    <t>AOMA Abono diferencia</t>
  </si>
  <si>
    <t>Alquiler V.Gomez</t>
  </si>
  <si>
    <t>devolucion prestamo chulino</t>
  </si>
  <si>
    <t>Limerick reserva vacante 1/6</t>
  </si>
  <si>
    <t>Edesur TIA</t>
  </si>
  <si>
    <t>AYSA Venezuela $ 68,461.96 VISA</t>
  </si>
  <si>
    <t>AYSA Aroma $15.800 VISA</t>
  </si>
  <si>
    <t>Alquiler Irigoyen</t>
  </si>
  <si>
    <t xml:space="preserve">alquiler venezuela </t>
  </si>
  <si>
    <t>alquiler pochi</t>
  </si>
  <si>
    <t>Polleria</t>
  </si>
  <si>
    <t>Devolucion ML</t>
  </si>
  <si>
    <t>Anthony Arreglo tanque</t>
  </si>
  <si>
    <t>SUbe</t>
  </si>
  <si>
    <t>uber</t>
  </si>
  <si>
    <t>Senra</t>
  </si>
  <si>
    <t>Metrogas 5/12 $ 7,960.65 VISA</t>
  </si>
  <si>
    <t>Metrogas Aroma $ 38,758.28 VISA</t>
  </si>
  <si>
    <t>Autonomos</t>
  </si>
  <si>
    <t>Movistar Aroma $ 25.883.75 VISA</t>
  </si>
  <si>
    <t>Movistar Todos $59.554.98 VISA</t>
  </si>
  <si>
    <t>verduleria</t>
  </si>
  <si>
    <t>Agua Villa del sur</t>
  </si>
  <si>
    <t>sube</t>
  </si>
  <si>
    <t>extraccion coto</t>
  </si>
  <si>
    <t>coto</t>
  </si>
  <si>
    <t>prestamo chelo</t>
  </si>
  <si>
    <t>Patentamiento AUTO</t>
  </si>
  <si>
    <t>AOMA Bsas $163.000 + 35.000</t>
  </si>
  <si>
    <t>Telecentro Tia  $ 46,679.87 VISA</t>
  </si>
  <si>
    <t>Gaby</t>
  </si>
  <si>
    <t>Naty Ingles</t>
  </si>
  <si>
    <t>Sueldo Fabiana $220</t>
  </si>
  <si>
    <t>Metrogas Tia $9196.59 VISA</t>
  </si>
  <si>
    <t>pochoclos</t>
  </si>
  <si>
    <t>chulino entradas</t>
  </si>
  <si>
    <t>Multas 3/9</t>
  </si>
  <si>
    <t>Monotributo Gaby</t>
  </si>
  <si>
    <t>Edesur TIA Venezuela</t>
  </si>
  <si>
    <t>caravario marcela</t>
  </si>
  <si>
    <t>maria dolores gonzalez</t>
  </si>
  <si>
    <t>Edesur Aroma</t>
  </si>
  <si>
    <t>garcia mata</t>
  </si>
  <si>
    <t>IVA 9/25</t>
  </si>
  <si>
    <t>Metrogas 6/12 $7960.65 VISA</t>
  </si>
  <si>
    <t>Metrogas Aroma $ 38,835.75 VISA</t>
  </si>
  <si>
    <t>AYSA Aroma $16285.86 VISA</t>
  </si>
  <si>
    <t>IIBB 2025-12</t>
  </si>
  <si>
    <t xml:space="preserve">Alquiler Venezuela </t>
  </si>
  <si>
    <t>AOMA Bsas $373.000 + 35.000</t>
  </si>
  <si>
    <t>agustin cancio</t>
  </si>
  <si>
    <t>AYSA Venezuela   $70565.34 VISA</t>
  </si>
  <si>
    <t>Movistar Todos $63399.09</t>
  </si>
  <si>
    <t>Movistar Aroma $ 27483.75</t>
  </si>
  <si>
    <t>Telecentro Tia  $ 47979.87 VISA</t>
  </si>
  <si>
    <t>gaby expo</t>
  </si>
  <si>
    <t>libros cunita</t>
  </si>
  <si>
    <t>polleria</t>
  </si>
  <si>
    <t>chelo cafe</t>
  </si>
  <si>
    <t>Metrogas Tia $8366.82 VISA</t>
  </si>
  <si>
    <t>IVA 11/25</t>
  </si>
  <si>
    <t>deuda ARCA</t>
  </si>
  <si>
    <t>Multas 4/9</t>
  </si>
  <si>
    <t xml:space="preserve">jonathan </t>
  </si>
  <si>
    <t>kinesio</t>
  </si>
  <si>
    <t>sergi</t>
  </si>
  <si>
    <t xml:space="preserve">SSD Gustavo Marilu U$S </t>
  </si>
  <si>
    <t>AOMA Bsas $461.000 + 38.000</t>
  </si>
  <si>
    <t>abl Venezuela 2026-01 $139815.62</t>
  </si>
  <si>
    <t>abl Venezuela 2026-02 $137381.47</t>
  </si>
  <si>
    <t>abl Venezuela 2026-03 $ 117681.67</t>
  </si>
  <si>
    <t>Metrogas Aroma $36462.09 VISA</t>
  </si>
  <si>
    <t xml:space="preserve">alquiler Venezuela </t>
  </si>
  <si>
    <t>Metrogas 7/12 $7,960.65 VISA</t>
  </si>
  <si>
    <t>AYSA Aroma $17414.72</t>
  </si>
  <si>
    <t>Sueldo Fabiana $240</t>
  </si>
  <si>
    <t>AYSA Venezuela $ 75,456.52 VISA</t>
  </si>
  <si>
    <t xml:space="preserve">AIr compu Elio </t>
  </si>
  <si>
    <t>Movistar Aroma $29752.50 VISA</t>
  </si>
  <si>
    <t>Movistar Todos $66670.66 VISA</t>
  </si>
  <si>
    <t>IIBB 2026-01</t>
  </si>
  <si>
    <t>Telecentro TIA $ 56793 VISA</t>
  </si>
  <si>
    <t>Metrogas TIA $8426.21 VISA</t>
  </si>
  <si>
    <t>IVA 12/25</t>
  </si>
  <si>
    <t>Mariano Viola Compu</t>
  </si>
  <si>
    <t>Air compu Mariano</t>
  </si>
  <si>
    <t>AFIP al pedo</t>
  </si>
  <si>
    <t>Multas 5/9</t>
  </si>
  <si>
    <t>IIBB 2026-02</t>
  </si>
  <si>
    <t>luis daniel Gonzalez</t>
  </si>
  <si>
    <t>Melina sol roznaski</t>
  </si>
  <si>
    <t>Panaderia</t>
  </si>
  <si>
    <t>no se</t>
  </si>
  <si>
    <t>coco</t>
  </si>
  <si>
    <t>chelo morfi</t>
  </si>
  <si>
    <t>Metrogas Aroma $36,585.19 VISA</t>
  </si>
  <si>
    <t>Sergi</t>
  </si>
  <si>
    <t>Naturaleza Viva</t>
  </si>
  <si>
    <t>Sube</t>
  </si>
  <si>
    <t>AOMA BsAs $ 191.000 + $ 38.000</t>
  </si>
  <si>
    <t>devolucion prestamo chelo</t>
  </si>
  <si>
    <t>Sueldo Fabiana $170</t>
  </si>
  <si>
    <t>Metrogas 8/12 $7960.65 VISA</t>
  </si>
  <si>
    <t>Metrogas v.gomez $37528.68 VISA</t>
  </si>
  <si>
    <t>Movistar Todos $ 67352.34 VISA</t>
  </si>
  <si>
    <t>Movistar  Aroma $31900 VISA</t>
  </si>
  <si>
    <t>Telecentro TIA $56793 VISA</t>
  </si>
  <si>
    <t>Uber</t>
  </si>
  <si>
    <t>alien romina mandarino</t>
  </si>
  <si>
    <t>IIBB 2026-03</t>
  </si>
  <si>
    <t>Laura Dolores Elizondo</t>
  </si>
  <si>
    <t>ROI Dientes</t>
  </si>
  <si>
    <t>xxxx</t>
  </si>
  <si>
    <t>niedermaie Martin Gab</t>
  </si>
  <si>
    <t>Edesur V.Gomez</t>
  </si>
  <si>
    <t>Metrogas TIA $ 8.952,93 VISA</t>
  </si>
  <si>
    <t>fabiana</t>
  </si>
  <si>
    <t>Multas 6/9</t>
  </si>
  <si>
    <t>IVA 01/26</t>
  </si>
  <si>
    <t>rendimientos</t>
  </si>
  <si>
    <t>Dante Venezuela</t>
  </si>
  <si>
    <t>Metrogas V.gomez $37202.35 VISA</t>
  </si>
  <si>
    <t>Metrogas Aroma $ 45,445.01 VISA</t>
  </si>
  <si>
    <t>Metrogas 9/12 VISA $7960.65</t>
  </si>
  <si>
    <t>AYSA Aroma $ 18,319.38 VISA</t>
  </si>
  <si>
    <t>Movistar ARoma $34123.75 VISA</t>
  </si>
  <si>
    <t>Movistar Todos $70.771.44 VISA</t>
  </si>
  <si>
    <t>AYSA Venezuela $ 79,376.39 VISA</t>
  </si>
  <si>
    <t>Sueldo fabiana</t>
  </si>
  <si>
    <t>Libro Cunita</t>
  </si>
  <si>
    <t>Implante Odontologo $ 550000</t>
  </si>
  <si>
    <t xml:space="preserve">el puente </t>
  </si>
  <si>
    <t>Mosquera MArina</t>
  </si>
  <si>
    <t>Metrogas TIA $8949.06</t>
  </si>
  <si>
    <t>Implante Odontologo $ 100000</t>
  </si>
  <si>
    <t>IIBB 2026-04</t>
  </si>
  <si>
    <t>Multas 7/9</t>
  </si>
  <si>
    <t>IVA 02/26</t>
  </si>
  <si>
    <t>Fabiana Pollo</t>
  </si>
  <si>
    <t>abl Venezuela 2026-04 $ 142,158.64 VISA</t>
  </si>
  <si>
    <t>abl Venezuela 2026-05 $ 139,994.32 VISA</t>
  </si>
  <si>
    <t>devolucion prestamo chulino + 400</t>
  </si>
  <si>
    <t>Alejandro Garcia Mata</t>
  </si>
  <si>
    <t>Fabiana  botas</t>
  </si>
  <si>
    <t>ajuste</t>
  </si>
  <si>
    <t>Miriam limpieza V.Gomez</t>
  </si>
  <si>
    <t>Metrogas V.Gomez $14.955,66 VISA</t>
  </si>
  <si>
    <t>Sueldo fabiana $170</t>
  </si>
  <si>
    <t>Metrogas 10/12 VISA $7,960.65</t>
  </si>
  <si>
    <t>AYSA Venezuela $81,757.69</t>
  </si>
  <si>
    <t>abl Venezuela 2026-06 $ 124,883.44</t>
  </si>
  <si>
    <t>anthony Llaves</t>
  </si>
  <si>
    <t>Movistar Todos $74.328.09 VISA</t>
  </si>
  <si>
    <t>Movistar Aroma $36.425 VISA</t>
  </si>
  <si>
    <t>Metrogas Aroma $44.948.18 VISA</t>
  </si>
  <si>
    <t>x</t>
  </si>
  <si>
    <t>VISA MP</t>
  </si>
  <si>
    <t>Gaby ML</t>
  </si>
  <si>
    <t>Mariano frutos secos</t>
  </si>
  <si>
    <t>Telecentro TIA $ 66.793 VISA</t>
  </si>
  <si>
    <t>AOMA bsas $191.000 + 38.000 + 297000</t>
  </si>
  <si>
    <t>Intereses ARCA</t>
  </si>
  <si>
    <t>IVA 03-26</t>
  </si>
  <si>
    <t>IIBB 2026-05</t>
  </si>
  <si>
    <t>Metrogas TIA $ 13299.30 VISA</t>
  </si>
  <si>
    <t>arreglo luz v. gomez</t>
  </si>
  <si>
    <t>Pintureria</t>
  </si>
  <si>
    <t>Multas 8/9</t>
  </si>
  <si>
    <t>Extraccion COTO Arreglo techo</t>
  </si>
  <si>
    <t>Metrogas Tia Venezuela</t>
  </si>
  <si>
    <t>Telecentro TIA</t>
  </si>
  <si>
    <t>Pagado 3/8/24</t>
  </si>
  <si>
    <t>Metrogas Tia Venezuela $ 6,338.29</t>
  </si>
  <si>
    <t>pagado 33000</t>
  </si>
  <si>
    <t>Metrogas Tia Venezuela VISA $ 9555.17</t>
  </si>
  <si>
    <t>Telecentro TIA 18017.55 VISA Noviembre</t>
  </si>
  <si>
    <t>Telecentro TIA 18893.79 VISA Diciembre</t>
  </si>
  <si>
    <t>Pagado 30/11/24</t>
  </si>
  <si>
    <t>Metrogas Tia Venezuela $7040.48 VISA</t>
  </si>
  <si>
    <t xml:space="preserve">Telecentro TIA </t>
  </si>
  <si>
    <t>Telecentro TIA $ 40343.41 VISA</t>
  </si>
  <si>
    <t>metrogas  tia  venezuela VISA $ 6780.44</t>
  </si>
  <si>
    <t>Pagado</t>
  </si>
  <si>
    <t>Telecentro TIA $ 39148.25 VISA</t>
  </si>
  <si>
    <t>Metrogas Tia $6472.04</t>
  </si>
  <si>
    <t>Metrogas TIA Venezuela $6334.08</t>
  </si>
  <si>
    <t>Telecentro TIA $ 40,716.62 VISA</t>
  </si>
  <si>
    <t>Telecentro TIA $49,055.49 VISA</t>
  </si>
  <si>
    <t xml:space="preserve">Metrogas Tia </t>
  </si>
  <si>
    <t>Telecentro TIA Venezuela $59,523.11 VISA</t>
  </si>
  <si>
    <t>Metrogas Tia $5533.33</t>
  </si>
  <si>
    <t>Telecentro TIA $ 54957.56 VISA</t>
  </si>
  <si>
    <t>Metrogas TIA Venezuela $7070.08</t>
  </si>
  <si>
    <t xml:space="preserve">edesur TIA Venezuela </t>
  </si>
  <si>
    <t>Metrogas TIA Venezuela $6754.91 VISA</t>
  </si>
  <si>
    <t>Telecentro TIA $77257.49 VISA</t>
  </si>
  <si>
    <t>Metrogas TIA Venezuela $15,380.85 VISA</t>
  </si>
  <si>
    <t>Telecentro TIA $ 80193 VISA</t>
  </si>
  <si>
    <t>Telecentro TIA $  42,245.25 VISA</t>
  </si>
  <si>
    <t>Pagado 4/9/25</t>
  </si>
  <si>
    <t>Metrogas TIA Venezuela</t>
  </si>
  <si>
    <t>Pagado 8/10/25</t>
  </si>
  <si>
    <t>Metrogas TIA Venezuela $13,122.20 VISA</t>
  </si>
  <si>
    <t xml:space="preserve">Edesur TIA Venezuela </t>
  </si>
  <si>
    <t>Telecentro Tia Venezuela $ 43509.38 VISA</t>
  </si>
  <si>
    <t>Edesur Tia Venezuela</t>
  </si>
  <si>
    <t xml:space="preserve">Metrogas TIA </t>
  </si>
  <si>
    <t xml:space="preserve">Telecentro Tia  </t>
  </si>
  <si>
    <t>Telecentro TIA $</t>
  </si>
  <si>
    <t>GCBA ABL Vieja</t>
  </si>
  <si>
    <t>TELEFONICA Vieja</t>
  </si>
  <si>
    <t>Metrogas - METROGAS Vieja</t>
  </si>
  <si>
    <t>ABL</t>
  </si>
  <si>
    <t>AYSA</t>
  </si>
  <si>
    <t>GCBA Inmobiliario/ABL - GCBA ABL Vieja</t>
  </si>
  <si>
    <t>AySA - AYSA Vieja</t>
  </si>
  <si>
    <t>Telefónica - TELEFONICA Vieja</t>
  </si>
  <si>
    <t>EDESUR - EDESUR Vieja</t>
  </si>
  <si>
    <t>Portero Electrico vieja 1/3</t>
  </si>
  <si>
    <t>Portero Electrico vieja 2/3</t>
  </si>
  <si>
    <t>Portero Electrico vieja 3/3</t>
  </si>
  <si>
    <t>EDESUR Vieja</t>
  </si>
  <si>
    <t>ITAU vieja</t>
  </si>
  <si>
    <t>AYSA Vieja</t>
  </si>
  <si>
    <t>METROGAS Vieja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</si>
</sst>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d/m/yyyy"/>
    <numFmt numFmtId="166" formatCode="d/m/yy"/>
    <numFmt numFmtId="167" formatCode="d/mm/yyyy"/>
    <numFmt numFmtId="168" formatCode="_ &quot;$&quot;\ * #,##0.00_ ;_ &quot;$&quot;\ * \-#,##0.00_ ;_ &quot;$&quot;\ * &quot;-&quot;??_ ;_ @_ "/>
    <numFmt numFmtId="169" formatCode="[$$]#,##0.00"/>
  </numFmts>
  <fonts count="19">
    <font>
      <sz val="11"/>
      <color rgb="FF000000"/>
      <name val="Calibri"/>
    </font>
    <font>
      <sz val="11"/>
      <color rgb="FF000000"/>
      <name val="Arial"/>
    </font>
    <font>
      <sz val="11"/>
      <name val="Arial"/>
    </font>
    <font>
      <sz val="11"/>
      <name val="Calibri"/>
    </font>
    <font>
      <sz val="11"/>
      <name val="Arial"/>
    </font>
    <font>
      <u/>
      <sz val="11"/>
      <color rgb="FF000000"/>
      <name val="Calibri"/>
    </font>
    <font>
      <u/>
      <sz val="11"/>
      <color rgb="FF000000"/>
      <name val="Inherit"/>
    </font>
    <font>
      <sz val="14"/>
      <name val="Calibri"/>
    </font>
    <font>
      <sz val="14"/>
      <color rgb="FF000000"/>
      <name val="Calibri"/>
    </font>
    <font>
      <u/>
      <sz val="14"/>
      <color rgb="FF000000"/>
      <name val="Inherit"/>
    </font>
    <font>
      <u/>
      <sz val="14"/>
      <color rgb="FF000000"/>
      <name val="Verdana"/>
    </font>
    <font>
      <b/>
      <sz val="14"/>
      <color rgb="FF000000"/>
      <name val="Calibri"/>
    </font>
    <font>
      <sz val="14"/>
      <color rgb="FF000000"/>
      <name val="Verdana"/>
    </font>
    <font>
      <sz val="14"/>
      <color rgb="FF000000"/>
      <name val="Inherit"/>
    </font>
    <font>
      <b/>
      <sz val="14"/>
      <name val="Calibri"/>
    </font>
    <font>
      <u/>
      <sz val="14"/>
      <color rgb="FF0000FF"/>
      <name val="Calibri"/>
    </font>
    <font>
      <u/>
      <sz val="11"/>
      <color rgb="FF0000FF"/>
      <name val="Calibri"/>
    </font>
    <font>
      <u/>
      <sz val="11"/>
      <color rgb="FF000000"/>
      <name val="Inherit"/>
    </font>
    <font>
      <u/>
      <sz val="8"/>
      <color rgb="FF000000"/>
      <name val="Verdana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5" fontId="1" fillId="0" borderId="0" xfId="0" applyNumberFormat="1" applyFont="1"/>
    <xf numFmtId="164" fontId="1" fillId="2" borderId="0" xfId="0" applyNumberFormat="1" applyFont="1" applyFill="1"/>
    <xf numFmtId="165" fontId="2" fillId="0" borderId="0" xfId="0" applyNumberFormat="1" applyFont="1"/>
    <xf numFmtId="164" fontId="1" fillId="3" borderId="0" xfId="0" applyNumberFormat="1" applyFont="1" applyFill="1"/>
    <xf numFmtId="4" fontId="3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1" fillId="4" borderId="0" xfId="0" applyNumberFormat="1" applyFont="1" applyFill="1"/>
    <xf numFmtId="166" fontId="1" fillId="0" borderId="0" xfId="0" applyNumberFormat="1" applyFont="1"/>
    <xf numFmtId="166" fontId="2" fillId="0" borderId="0" xfId="0" applyNumberFormat="1" applyFont="1"/>
    <xf numFmtId="165" fontId="1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164" fontId="3" fillId="7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2" fillId="0" borderId="0" xfId="0" applyNumberFormat="1" applyFont="1" applyAlignment="1">
      <alignment horizontal="right"/>
    </xf>
    <xf numFmtId="164" fontId="3" fillId="5" borderId="0" xfId="0" applyNumberFormat="1" applyFont="1" applyFill="1" applyAlignment="1">
      <alignment horizontal="right"/>
    </xf>
    <xf numFmtId="0" fontId="4" fillId="8" borderId="1" xfId="0" applyFont="1" applyFill="1" applyBorder="1"/>
    <xf numFmtId="164" fontId="3" fillId="6" borderId="0" xfId="0" applyNumberFormat="1" applyFont="1" applyFill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0" xfId="0" applyFont="1"/>
    <xf numFmtId="167" fontId="0" fillId="0" borderId="0" xfId="0" applyNumberFormat="1"/>
    <xf numFmtId="168" fontId="0" fillId="0" borderId="0" xfId="0" applyNumberFormat="1"/>
    <xf numFmtId="0" fontId="5" fillId="0" borderId="0" xfId="0" applyFont="1"/>
    <xf numFmtId="14" fontId="3" fillId="0" borderId="0" xfId="0" applyNumberFormat="1" applyFont="1"/>
    <xf numFmtId="0" fontId="6" fillId="9" borderId="2" xfId="0" applyFont="1" applyFill="1" applyBorder="1"/>
    <xf numFmtId="14" fontId="7" fillId="0" borderId="0" xfId="0" applyNumberFormat="1" applyFont="1"/>
    <xf numFmtId="0" fontId="7" fillId="0" borderId="0" xfId="0" applyFont="1"/>
    <xf numFmtId="168" fontId="8" fillId="0" borderId="0" xfId="0" applyNumberFormat="1" applyFont="1"/>
    <xf numFmtId="0" fontId="9" fillId="9" borderId="2" xfId="0" applyFont="1" applyFill="1" applyBorder="1"/>
    <xf numFmtId="0" fontId="10" fillId="9" borderId="0" xfId="0" applyFont="1" applyFill="1"/>
    <xf numFmtId="168" fontId="11" fillId="0" borderId="3" xfId="0" applyNumberFormat="1" applyFont="1" applyBorder="1"/>
    <xf numFmtId="0" fontId="12" fillId="9" borderId="0" xfId="0" applyFont="1" applyFill="1" applyAlignment="1">
      <alignment horizontal="left"/>
    </xf>
    <xf numFmtId="0" fontId="13" fillId="9" borderId="2" xfId="0" applyFont="1" applyFill="1" applyBorder="1"/>
    <xf numFmtId="0" fontId="13" fillId="9" borderId="0" xfId="0" applyFont="1" applyFill="1"/>
    <xf numFmtId="168" fontId="14" fillId="0" borderId="3" xfId="0" applyNumberFormat="1" applyFont="1" applyBorder="1"/>
    <xf numFmtId="169" fontId="7" fillId="0" borderId="0" xfId="0" applyNumberFormat="1" applyFont="1"/>
    <xf numFmtId="169" fontId="14" fillId="0" borderId="3" xfId="0" applyNumberFormat="1" applyFont="1" applyBorder="1"/>
    <xf numFmtId="167" fontId="8" fillId="0" borderId="0" xfId="0" applyNumberFormat="1" applyFont="1"/>
    <xf numFmtId="0" fontId="15" fillId="0" borderId="0" xfId="0" applyFont="1"/>
    <xf numFmtId="0" fontId="16" fillId="0" borderId="0" xfId="0" applyFont="1"/>
    <xf numFmtId="169" fontId="3" fillId="0" borderId="0" xfId="0" applyNumberFormat="1" applyFont="1"/>
    <xf numFmtId="0" fontId="17" fillId="9" borderId="4" xfId="0" applyFont="1" applyFill="1" applyBorder="1"/>
    <xf numFmtId="0" fontId="1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paysrv2.pagomiscuentas.com/pmctas/login.do?dispatch=executeLogin" TargetMode="External"/><Relationship Id="rId18" Type="http://schemas.openxmlformats.org/officeDocument/2006/relationships/hyperlink" Target="https://paysrv2.pagomiscuentas.com/pmctas/main.do" TargetMode="External"/><Relationship Id="rId26" Type="http://schemas.openxmlformats.org/officeDocument/2006/relationships/hyperlink" Target="https://paysrv2.pagomiscuentas.com/pmctas/main.do" TargetMode="External"/><Relationship Id="rId39" Type="http://schemas.openxmlformats.org/officeDocument/2006/relationships/hyperlink" Target="https://paysrv2.pagomiscuentas.com/pmctas/pagoFactura.do" TargetMode="External"/><Relationship Id="rId21" Type="http://schemas.openxmlformats.org/officeDocument/2006/relationships/hyperlink" Target="https://paysrv2.pagomiscuentas.com/pmctas/login.do?dispatch=executeLogin" TargetMode="External"/><Relationship Id="rId34" Type="http://schemas.openxmlformats.org/officeDocument/2006/relationships/hyperlink" Target="https://paysrv2.pagomiscuentas.com/pmctas/main.do" TargetMode="External"/><Relationship Id="rId42" Type="http://schemas.openxmlformats.org/officeDocument/2006/relationships/hyperlink" Target="https://paysrv2.pagomiscuentas.com/pmctas/pagoFactura.do" TargetMode="External"/><Relationship Id="rId7" Type="http://schemas.openxmlformats.org/officeDocument/2006/relationships/hyperlink" Target="https://paysrv2.pagomiscuentas.com/pmctas/login.do?dispatch=executeLogin" TargetMode="External"/><Relationship Id="rId2" Type="http://schemas.openxmlformats.org/officeDocument/2006/relationships/hyperlink" Target="https://paysrv2.pagomiscuentas.com/pmctas/login.do?dispatch=executeLogin" TargetMode="External"/><Relationship Id="rId16" Type="http://schemas.openxmlformats.org/officeDocument/2006/relationships/hyperlink" Target="https://paysrv2.pagomiscuentas.com/pmctas/main.do" TargetMode="External"/><Relationship Id="rId20" Type="http://schemas.openxmlformats.org/officeDocument/2006/relationships/hyperlink" Target="https://paysrv2.pagomiscuentas.com/pmctas/main.do" TargetMode="External"/><Relationship Id="rId29" Type="http://schemas.openxmlformats.org/officeDocument/2006/relationships/hyperlink" Target="https://paysrv2.pagomiscuentas.com/pmctas/login.do?dispatch=executeLogin" TargetMode="External"/><Relationship Id="rId41" Type="http://schemas.openxmlformats.org/officeDocument/2006/relationships/hyperlink" Target="https://paysrv2.pagomiscuentas.com/pmctas/login.do?dispatch=executeLogin" TargetMode="External"/><Relationship Id="rId1" Type="http://schemas.openxmlformats.org/officeDocument/2006/relationships/hyperlink" Target="https://paysrv2.pagomiscuentas.com/pmctas/login.do?dispatch=executeLogin" TargetMode="External"/><Relationship Id="rId6" Type="http://schemas.openxmlformats.org/officeDocument/2006/relationships/hyperlink" Target="https://paysrv2.pagomiscuentas.com/pmctas/main.do" TargetMode="External"/><Relationship Id="rId11" Type="http://schemas.openxmlformats.org/officeDocument/2006/relationships/hyperlink" Target="https://paysrv2.pagomiscuentas.com/pmctas/login.do?dispatch=executeLogin" TargetMode="External"/><Relationship Id="rId24" Type="http://schemas.openxmlformats.org/officeDocument/2006/relationships/hyperlink" Target="https://paysrv2.pagomiscuentas.com/pmctas/login.do?dispatch=executeLogin" TargetMode="External"/><Relationship Id="rId32" Type="http://schemas.openxmlformats.org/officeDocument/2006/relationships/hyperlink" Target="https://paysrv2.pagomiscuentas.com/pmctas/login.do?dispatch=executeLogin" TargetMode="External"/><Relationship Id="rId37" Type="http://schemas.openxmlformats.org/officeDocument/2006/relationships/hyperlink" Target="https://paysrv2.pagomiscuentas.com/pmctas/pagoFactura.do" TargetMode="External"/><Relationship Id="rId40" Type="http://schemas.openxmlformats.org/officeDocument/2006/relationships/hyperlink" Target="https://paysrv2.pagomiscuentas.com/pmctas/login.do?dispatch=executeLogin" TargetMode="External"/><Relationship Id="rId5" Type="http://schemas.openxmlformats.org/officeDocument/2006/relationships/hyperlink" Target="https://paysrv2.pagomiscuentas.com/pmctas/main.do" TargetMode="External"/><Relationship Id="rId15" Type="http://schemas.openxmlformats.org/officeDocument/2006/relationships/hyperlink" Target="https://paysrv2.pagomiscuentas.com/pmctas/pagoFactura.do" TargetMode="External"/><Relationship Id="rId23" Type="http://schemas.openxmlformats.org/officeDocument/2006/relationships/hyperlink" Target="https://paysrv2.pagomiscuentas.com/pmctas/main.do" TargetMode="External"/><Relationship Id="rId28" Type="http://schemas.openxmlformats.org/officeDocument/2006/relationships/hyperlink" Target="https://paysrv2.pagomiscuentas.com/pmctas/login.do?dispatch=executeLogin" TargetMode="External"/><Relationship Id="rId36" Type="http://schemas.openxmlformats.org/officeDocument/2006/relationships/hyperlink" Target="https://paysrv2.pagomiscuentas.com/pmctas/pagoFactura.do" TargetMode="External"/><Relationship Id="rId10" Type="http://schemas.openxmlformats.org/officeDocument/2006/relationships/hyperlink" Target="https://paysrv2.pagomiscuentas.com/pmctas/login.do?dispatch=executeLogin" TargetMode="External"/><Relationship Id="rId19" Type="http://schemas.openxmlformats.org/officeDocument/2006/relationships/hyperlink" Target="https://paysrv2.pagomiscuentas.com/pmctas/login.do?dispatch=executeLogin" TargetMode="External"/><Relationship Id="rId31" Type="http://schemas.openxmlformats.org/officeDocument/2006/relationships/hyperlink" Target="https://paysrv2.pagomiscuentas.com/pmctas/login.do?dispatch=executeLogin" TargetMode="External"/><Relationship Id="rId4" Type="http://schemas.openxmlformats.org/officeDocument/2006/relationships/hyperlink" Target="https://paysrv2.pagomiscuentas.com/pmctas/pagoFactura.do" TargetMode="External"/><Relationship Id="rId9" Type="http://schemas.openxmlformats.org/officeDocument/2006/relationships/hyperlink" Target="https://paysrv2.pagomiscuentas.com/pmctas/main.do" TargetMode="External"/><Relationship Id="rId14" Type="http://schemas.openxmlformats.org/officeDocument/2006/relationships/hyperlink" Target="https://paysrv2.pagomiscuentas.com/pmctas/main.do" TargetMode="External"/><Relationship Id="rId22" Type="http://schemas.openxmlformats.org/officeDocument/2006/relationships/hyperlink" Target="https://paysrv2.pagomiscuentas.com/pmctas/login.do?dispatch=executeLogin" TargetMode="External"/><Relationship Id="rId27" Type="http://schemas.openxmlformats.org/officeDocument/2006/relationships/hyperlink" Target="https://paysrv2.pagomiscuentas.com/pmctas/main.do" TargetMode="External"/><Relationship Id="rId30" Type="http://schemas.openxmlformats.org/officeDocument/2006/relationships/hyperlink" Target="https://paysrv2.pagomiscuentas.com/pmctas/login.do?dispatch=executeLogin" TargetMode="External"/><Relationship Id="rId35" Type="http://schemas.openxmlformats.org/officeDocument/2006/relationships/hyperlink" Target="https://paysrv2.pagomiscuentas.com/pmctas/main.do" TargetMode="External"/><Relationship Id="rId8" Type="http://schemas.openxmlformats.org/officeDocument/2006/relationships/hyperlink" Target="https://paysrv2.pagomiscuentas.com/pmctas/main.do" TargetMode="External"/><Relationship Id="rId3" Type="http://schemas.openxmlformats.org/officeDocument/2006/relationships/hyperlink" Target="https://paysrv2.pagomiscuentas.com/pmctas/login.do?dispatch=executeLogin" TargetMode="External"/><Relationship Id="rId12" Type="http://schemas.openxmlformats.org/officeDocument/2006/relationships/hyperlink" Target="https://paysrv2.pagomiscuentas.com/pmctas/main.do" TargetMode="External"/><Relationship Id="rId17" Type="http://schemas.openxmlformats.org/officeDocument/2006/relationships/hyperlink" Target="https://paysrv2.pagomiscuentas.com/pmctas/main.do" TargetMode="External"/><Relationship Id="rId25" Type="http://schemas.openxmlformats.org/officeDocument/2006/relationships/hyperlink" Target="https://paysrv2.pagomiscuentas.com/pmctas/pagoFactura.do" TargetMode="External"/><Relationship Id="rId33" Type="http://schemas.openxmlformats.org/officeDocument/2006/relationships/hyperlink" Target="https://paysrv2.pagomiscuentas.com/pmctas/main.do" TargetMode="External"/><Relationship Id="rId38" Type="http://schemas.openxmlformats.org/officeDocument/2006/relationships/hyperlink" Target="https://paysrv2.pagomiscuentas.com/pmctas/pagoFactura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6"/>
  <sheetViews>
    <sheetView tabSelected="1" workbookViewId="0">
      <pane xSplit="1" ySplit="1" topLeftCell="B122" activePane="bottomRight" state="frozen"/>
      <selection pane="topRight" activeCell="B1" sqref="B1"/>
      <selection pane="bottomLeft" activeCell="A2" sqref="A2"/>
      <selection pane="bottomRight" activeCell="C142" sqref="C142"/>
    </sheetView>
  </sheetViews>
  <sheetFormatPr defaultColWidth="17.28515625" defaultRowHeight="15" customHeight="1"/>
  <cols>
    <col min="1" max="1" width="16.5703125" customWidth="1"/>
    <col min="2" max="2" width="57" customWidth="1"/>
    <col min="3" max="3" width="15.7109375" customWidth="1"/>
    <col min="4" max="4" width="14.42578125" customWidth="1"/>
    <col min="5" max="5" width="16.140625" customWidth="1"/>
    <col min="6" max="6" width="13.5703125" customWidth="1"/>
    <col min="7" max="7" width="18.85546875" customWidth="1"/>
    <col min="8" max="8" width="32.140625" customWidth="1"/>
    <col min="9" max="23" width="10.7109375" customWidth="1"/>
  </cols>
  <sheetData>
    <row r="1" spans="1:8" ht="28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</row>
    <row r="2" spans="1:8">
      <c r="A2" s="7">
        <v>46024</v>
      </c>
      <c r="B2" s="2" t="s">
        <v>6</v>
      </c>
      <c r="C2" s="8">
        <f>D2-658447.12</f>
        <v>9700.359999999986</v>
      </c>
      <c r="D2" s="3">
        <v>668147.48</v>
      </c>
      <c r="E2" s="3">
        <v>1747761.51</v>
      </c>
      <c r="F2" s="6"/>
      <c r="G2" s="6"/>
      <c r="H2" s="2"/>
    </row>
    <row r="3" spans="1:8">
      <c r="A3" s="7">
        <v>46028</v>
      </c>
      <c r="B3" s="2" t="s">
        <v>7</v>
      </c>
      <c r="C3" s="3">
        <v>1200000</v>
      </c>
      <c r="D3" s="3"/>
      <c r="E3" s="4">
        <f t="shared" ref="E3:E146" si="0">E2+D3-C3</f>
        <v>547761.51</v>
      </c>
      <c r="F3" s="6"/>
      <c r="G3" s="6"/>
      <c r="H3" s="2"/>
    </row>
    <row r="4" spans="1:8">
      <c r="A4" s="7">
        <v>46024</v>
      </c>
      <c r="B4" s="2" t="s">
        <v>8</v>
      </c>
      <c r="C4" s="3">
        <v>52380.24</v>
      </c>
      <c r="D4" s="3"/>
      <c r="E4" s="4">
        <f t="shared" si="0"/>
        <v>495381.27</v>
      </c>
      <c r="F4" s="6"/>
      <c r="G4" s="6"/>
      <c r="H4" s="2"/>
    </row>
    <row r="5" spans="1:8">
      <c r="A5" s="7">
        <v>46030</v>
      </c>
      <c r="B5" s="2" t="s">
        <v>9</v>
      </c>
      <c r="C5" s="3"/>
      <c r="D5" s="3">
        <v>110000</v>
      </c>
      <c r="E5" s="4">
        <f t="shared" si="0"/>
        <v>605381.27</v>
      </c>
      <c r="F5" s="6"/>
      <c r="G5" s="6"/>
      <c r="H5" s="2"/>
    </row>
    <row r="6" spans="1:8">
      <c r="A6" s="7">
        <v>46031</v>
      </c>
      <c r="B6" s="2" t="s">
        <v>10</v>
      </c>
      <c r="C6" s="3">
        <v>599733.16</v>
      </c>
      <c r="D6" s="3"/>
      <c r="E6" s="4">
        <f t="shared" si="0"/>
        <v>5648.109999999986</v>
      </c>
      <c r="F6" s="6"/>
      <c r="G6" s="6"/>
      <c r="H6" s="2"/>
    </row>
    <row r="7" spans="1:8">
      <c r="A7" s="7">
        <v>46031</v>
      </c>
      <c r="B7" s="2" t="s">
        <v>11</v>
      </c>
      <c r="C7" s="3"/>
      <c r="D7" s="3">
        <v>10000</v>
      </c>
      <c r="E7" s="4">
        <f t="shared" si="0"/>
        <v>15648.109999999986</v>
      </c>
      <c r="F7" s="6"/>
      <c r="G7" s="6"/>
      <c r="H7" s="2"/>
    </row>
    <row r="8" spans="1:8">
      <c r="A8" s="7">
        <v>46034</v>
      </c>
      <c r="B8" s="2" t="s">
        <v>12</v>
      </c>
      <c r="C8" s="3"/>
      <c r="D8" s="3">
        <v>15011.23</v>
      </c>
      <c r="E8" s="4">
        <f t="shared" si="0"/>
        <v>30659.339999999986</v>
      </c>
      <c r="F8" s="6"/>
      <c r="G8" s="6"/>
      <c r="H8" s="2"/>
    </row>
    <row r="9" spans="1:8">
      <c r="A9" s="7">
        <v>46036</v>
      </c>
      <c r="B9" s="2" t="s">
        <v>13</v>
      </c>
      <c r="C9" s="8">
        <f>D9-2836153.08</f>
        <v>47666.439999999944</v>
      </c>
      <c r="D9" s="3">
        <v>2883819.52</v>
      </c>
      <c r="E9" s="4">
        <f t="shared" si="0"/>
        <v>2866812.42</v>
      </c>
      <c r="F9" s="6"/>
      <c r="G9" s="6"/>
      <c r="H9" s="2"/>
    </row>
    <row r="10" spans="1:8">
      <c r="A10" s="7">
        <v>46036</v>
      </c>
      <c r="B10" s="2" t="s">
        <v>14</v>
      </c>
      <c r="C10" s="8">
        <f>D10-2886834.22</f>
        <v>48518.219999999739</v>
      </c>
      <c r="D10" s="3">
        <v>2935352.44</v>
      </c>
      <c r="E10" s="4">
        <f t="shared" si="0"/>
        <v>5753646.6399999997</v>
      </c>
      <c r="F10" s="6"/>
      <c r="G10" s="6"/>
      <c r="H10" s="2"/>
    </row>
    <row r="11" spans="1:8">
      <c r="A11" s="7">
        <v>46036</v>
      </c>
      <c r="B11" s="2" t="s">
        <v>15</v>
      </c>
      <c r="C11" s="3">
        <v>1200000</v>
      </c>
      <c r="D11" s="3"/>
      <c r="E11" s="4">
        <f t="shared" si="0"/>
        <v>4553646.6399999997</v>
      </c>
      <c r="F11" s="6"/>
      <c r="G11" s="6"/>
      <c r="H11" s="2"/>
    </row>
    <row r="12" spans="1:8">
      <c r="A12" s="7">
        <v>46036</v>
      </c>
      <c r="B12" s="2" t="s">
        <v>16</v>
      </c>
      <c r="C12" s="3">
        <v>3077580.75</v>
      </c>
      <c r="D12" s="3"/>
      <c r="E12" s="4">
        <f t="shared" si="0"/>
        <v>1476065.8899999997</v>
      </c>
      <c r="F12" s="6"/>
      <c r="G12" s="6"/>
      <c r="H12" s="2"/>
    </row>
    <row r="13" spans="1:8">
      <c r="A13" s="7">
        <v>46037</v>
      </c>
      <c r="B13" s="2" t="s">
        <v>17</v>
      </c>
      <c r="C13" s="8">
        <f>D13-32810.36</f>
        <v>551.43000000000029</v>
      </c>
      <c r="D13" s="3">
        <v>33361.79</v>
      </c>
      <c r="E13" s="4">
        <f t="shared" si="0"/>
        <v>1508876.2499999998</v>
      </c>
      <c r="F13" s="6"/>
      <c r="G13" s="6"/>
      <c r="H13" s="2"/>
    </row>
    <row r="14" spans="1:8">
      <c r="A14" s="7">
        <v>46037</v>
      </c>
      <c r="B14" s="2" t="s">
        <v>18</v>
      </c>
      <c r="C14" s="3">
        <v>438745.73</v>
      </c>
      <c r="D14" s="3"/>
      <c r="E14" s="4">
        <f t="shared" si="0"/>
        <v>1070130.5199999998</v>
      </c>
      <c r="F14" s="6"/>
      <c r="G14" s="6"/>
      <c r="H14" s="2"/>
    </row>
    <row r="15" spans="1:8">
      <c r="A15" s="7">
        <v>46038</v>
      </c>
      <c r="B15" s="2" t="s">
        <v>19</v>
      </c>
      <c r="C15" s="3">
        <v>11384.7</v>
      </c>
      <c r="D15" s="3"/>
      <c r="E15" s="4">
        <f t="shared" si="0"/>
        <v>1058745.8199999998</v>
      </c>
      <c r="F15" s="6"/>
      <c r="G15" s="6"/>
      <c r="H15" s="2">
        <v>8577.25</v>
      </c>
    </row>
    <row r="16" spans="1:8">
      <c r="A16" s="7">
        <v>46037</v>
      </c>
      <c r="B16" s="2" t="s">
        <v>9</v>
      </c>
      <c r="C16" s="3"/>
      <c r="D16" s="3">
        <v>500000</v>
      </c>
      <c r="E16" s="4">
        <f t="shared" si="0"/>
        <v>1558745.8199999998</v>
      </c>
      <c r="F16" s="6"/>
      <c r="G16" s="6"/>
      <c r="H16" s="2"/>
    </row>
    <row r="17" spans="1:8">
      <c r="A17" s="7">
        <v>46041</v>
      </c>
      <c r="B17" s="2" t="s">
        <v>20</v>
      </c>
      <c r="C17" s="3">
        <v>25314</v>
      </c>
      <c r="D17" s="3"/>
      <c r="E17" s="4">
        <f t="shared" si="0"/>
        <v>1533431.8199999998</v>
      </c>
      <c r="F17" s="6"/>
      <c r="G17" s="6"/>
      <c r="H17" s="2"/>
    </row>
    <row r="18" spans="1:8">
      <c r="A18" s="7">
        <v>46041</v>
      </c>
      <c r="B18" s="2"/>
      <c r="C18" s="3">
        <v>74000</v>
      </c>
      <c r="D18" s="3"/>
      <c r="E18" s="4">
        <f t="shared" si="0"/>
        <v>1459431.8199999998</v>
      </c>
      <c r="F18" s="6"/>
      <c r="G18" s="6"/>
      <c r="H18" s="2"/>
    </row>
    <row r="19" spans="1:8">
      <c r="A19" s="7">
        <v>46043</v>
      </c>
      <c r="B19" s="2" t="s">
        <v>21</v>
      </c>
      <c r="C19" s="8">
        <f>D19-2359567.14</f>
        <v>39656.600000000093</v>
      </c>
      <c r="D19" s="3">
        <v>2399223.7400000002</v>
      </c>
      <c r="E19" s="4">
        <f t="shared" si="0"/>
        <v>3818998.96</v>
      </c>
      <c r="F19" s="6"/>
      <c r="G19" s="6"/>
      <c r="H19" s="2"/>
    </row>
    <row r="20" spans="1:8">
      <c r="A20" s="7">
        <v>46043</v>
      </c>
      <c r="B20" s="2" t="s">
        <v>22</v>
      </c>
      <c r="C20" s="3">
        <v>1725692</v>
      </c>
      <c r="D20" s="3"/>
      <c r="E20" s="4">
        <f t="shared" si="0"/>
        <v>2093306.96</v>
      </c>
      <c r="F20" s="6"/>
      <c r="G20" s="6"/>
      <c r="H20" s="2"/>
    </row>
    <row r="21" spans="1:8">
      <c r="A21" s="7">
        <v>46043</v>
      </c>
      <c r="B21" s="3" t="s">
        <v>7</v>
      </c>
      <c r="C21" s="3">
        <v>1700000</v>
      </c>
      <c r="D21" s="3"/>
      <c r="E21" s="4">
        <f t="shared" si="0"/>
        <v>393306.95999999996</v>
      </c>
      <c r="F21" s="6"/>
      <c r="G21" s="6"/>
      <c r="H21" s="2"/>
    </row>
    <row r="22" spans="1:8">
      <c r="A22" s="7">
        <v>46044</v>
      </c>
      <c r="B22" s="2" t="s">
        <v>23</v>
      </c>
      <c r="C22" s="3">
        <v>300000</v>
      </c>
      <c r="D22" s="3"/>
      <c r="E22" s="4">
        <f t="shared" si="0"/>
        <v>93306.959999999963</v>
      </c>
      <c r="F22" s="6"/>
      <c r="G22" s="6"/>
      <c r="H22" s="2"/>
    </row>
    <row r="23" spans="1:8">
      <c r="A23" s="7">
        <v>46048</v>
      </c>
      <c r="B23" s="2" t="s">
        <v>24</v>
      </c>
      <c r="C23" s="8">
        <f>D23-3794231.91</f>
        <v>63768.089999999851</v>
      </c>
      <c r="D23" s="3">
        <v>3858000</v>
      </c>
      <c r="E23" s="4">
        <f t="shared" si="0"/>
        <v>3887538.87</v>
      </c>
      <c r="F23" s="6"/>
      <c r="G23" s="6"/>
      <c r="H23" s="2"/>
    </row>
    <row r="24" spans="1:8">
      <c r="A24" s="7">
        <v>46048</v>
      </c>
      <c r="B24" s="2" t="s">
        <v>25</v>
      </c>
      <c r="C24" s="3">
        <v>2946168.79</v>
      </c>
      <c r="D24" s="3"/>
      <c r="E24" s="4">
        <f t="shared" si="0"/>
        <v>941370.08000000007</v>
      </c>
      <c r="F24" s="6"/>
      <c r="G24" s="6"/>
      <c r="H24" s="2"/>
    </row>
    <row r="25" spans="1:8">
      <c r="A25" s="9">
        <v>46048</v>
      </c>
      <c r="B25" s="2" t="s">
        <v>23</v>
      </c>
      <c r="C25" s="3">
        <v>300000</v>
      </c>
      <c r="D25" s="3"/>
      <c r="E25" s="4">
        <f t="shared" si="0"/>
        <v>641370.08000000007</v>
      </c>
      <c r="F25" s="6"/>
      <c r="G25" s="6"/>
      <c r="H25" s="2"/>
    </row>
    <row r="26" spans="1:8">
      <c r="A26" s="9">
        <v>46048</v>
      </c>
      <c r="B26" s="2" t="s">
        <v>7</v>
      </c>
      <c r="C26" s="3">
        <v>600000</v>
      </c>
      <c r="D26" s="3"/>
      <c r="E26" s="4">
        <f t="shared" si="0"/>
        <v>41370.080000000075</v>
      </c>
      <c r="F26" s="6"/>
      <c r="G26" s="6"/>
      <c r="H26" s="2"/>
    </row>
    <row r="27" spans="1:8">
      <c r="A27" s="7">
        <v>46055</v>
      </c>
      <c r="B27" s="2" t="s">
        <v>6</v>
      </c>
      <c r="C27" s="8">
        <f>D27-654007.23</f>
        <v>9625.7399999999907</v>
      </c>
      <c r="D27" s="3">
        <v>663632.97</v>
      </c>
      <c r="E27" s="4">
        <f t="shared" si="0"/>
        <v>695377.31</v>
      </c>
      <c r="F27" s="6"/>
      <c r="G27" s="6"/>
      <c r="H27" s="2"/>
    </row>
    <row r="28" spans="1:8">
      <c r="A28" s="7">
        <v>46057</v>
      </c>
      <c r="B28" s="2" t="s">
        <v>8</v>
      </c>
      <c r="C28" s="3">
        <v>53899.27</v>
      </c>
      <c r="D28" s="3"/>
      <c r="E28" s="4">
        <f t="shared" si="0"/>
        <v>641478.04</v>
      </c>
      <c r="F28" s="6"/>
      <c r="G28" s="6"/>
      <c r="H28" s="2"/>
    </row>
    <row r="29" spans="1:8">
      <c r="A29" s="7">
        <v>46057</v>
      </c>
      <c r="B29" s="2" t="s">
        <v>26</v>
      </c>
      <c r="C29" s="3">
        <v>16350.18</v>
      </c>
      <c r="D29" s="3"/>
      <c r="E29" s="4">
        <f t="shared" si="0"/>
        <v>625127.86</v>
      </c>
      <c r="F29" s="6"/>
      <c r="G29" s="6"/>
      <c r="H29" s="2"/>
    </row>
    <row r="30" spans="1:8">
      <c r="A30" s="7">
        <v>46057</v>
      </c>
      <c r="B30" s="2" t="s">
        <v>23</v>
      </c>
      <c r="C30" s="3">
        <v>400000</v>
      </c>
      <c r="D30" s="3"/>
      <c r="E30" s="4">
        <f t="shared" si="0"/>
        <v>225127.86</v>
      </c>
      <c r="F30" s="6"/>
      <c r="G30" s="6"/>
      <c r="H30" s="2"/>
    </row>
    <row r="31" spans="1:8">
      <c r="A31" s="7">
        <v>46058</v>
      </c>
      <c r="B31" s="2" t="s">
        <v>9</v>
      </c>
      <c r="C31" s="3"/>
      <c r="D31" s="3">
        <v>900000</v>
      </c>
      <c r="E31" s="4">
        <f t="shared" si="0"/>
        <v>1125127.8599999999</v>
      </c>
      <c r="F31" s="6"/>
      <c r="G31" s="6"/>
      <c r="H31" s="2"/>
    </row>
    <row r="32" spans="1:8">
      <c r="A32" s="7">
        <v>46058</v>
      </c>
      <c r="B32" s="2" t="s">
        <v>27</v>
      </c>
      <c r="C32" s="3">
        <v>892955.01</v>
      </c>
      <c r="D32" s="3"/>
      <c r="E32" s="4">
        <f t="shared" si="0"/>
        <v>232172.84999999986</v>
      </c>
      <c r="F32" s="5">
        <v>611.64</v>
      </c>
      <c r="G32" s="6"/>
      <c r="H32" s="2"/>
    </row>
    <row r="33" spans="1:8">
      <c r="A33" s="7">
        <v>46059</v>
      </c>
      <c r="B33" s="2" t="s">
        <v>28</v>
      </c>
      <c r="C33" s="3">
        <v>22500</v>
      </c>
      <c r="D33" s="3"/>
      <c r="E33" s="4">
        <f t="shared" si="0"/>
        <v>209672.84999999986</v>
      </c>
      <c r="F33" s="6"/>
      <c r="G33" s="6"/>
      <c r="H33" s="2"/>
    </row>
    <row r="34" spans="1:8">
      <c r="A34" s="7">
        <v>46059</v>
      </c>
      <c r="B34" s="2" t="s">
        <v>10</v>
      </c>
      <c r="C34" s="3">
        <v>212176.38</v>
      </c>
      <c r="D34" s="3"/>
      <c r="E34" s="4">
        <f t="shared" si="0"/>
        <v>-2503.5300000001444</v>
      </c>
      <c r="F34" s="6"/>
      <c r="G34" s="6"/>
      <c r="H34" s="2"/>
    </row>
    <row r="35" spans="1:8">
      <c r="A35" s="7">
        <v>46062</v>
      </c>
      <c r="B35" s="2" t="s">
        <v>29</v>
      </c>
      <c r="C35" s="8">
        <f>D35-3455017.64</f>
        <v>58067.520000000019</v>
      </c>
      <c r="D35" s="3">
        <f>1180756.46+2332328.7</f>
        <v>3513085.16</v>
      </c>
      <c r="E35" s="4">
        <f t="shared" si="0"/>
        <v>3452514.11</v>
      </c>
      <c r="F35" s="6"/>
      <c r="G35" s="6"/>
      <c r="H35" s="2"/>
    </row>
    <row r="36" spans="1:8">
      <c r="A36" s="7">
        <v>46062</v>
      </c>
      <c r="B36" s="2" t="s">
        <v>30</v>
      </c>
      <c r="C36" s="3">
        <v>1567492.38</v>
      </c>
      <c r="D36" s="3"/>
      <c r="E36" s="4">
        <f t="shared" si="0"/>
        <v>1885021.73</v>
      </c>
      <c r="F36" s="6"/>
      <c r="G36" s="6"/>
      <c r="H36" s="2"/>
    </row>
    <row r="37" spans="1:8">
      <c r="A37" s="7">
        <v>46062</v>
      </c>
      <c r="B37" s="2" t="s">
        <v>31</v>
      </c>
      <c r="C37" s="3">
        <v>1076549.95</v>
      </c>
      <c r="D37" s="3"/>
      <c r="E37" s="4">
        <f t="shared" si="0"/>
        <v>808471.78</v>
      </c>
      <c r="F37" s="6"/>
      <c r="G37" s="6"/>
      <c r="H37" s="2"/>
    </row>
    <row r="38" spans="1:8">
      <c r="A38" s="7">
        <v>46063</v>
      </c>
      <c r="B38" s="2" t="s">
        <v>28</v>
      </c>
      <c r="C38" s="3">
        <v>86375.44</v>
      </c>
      <c r="D38" s="3"/>
      <c r="E38" s="4">
        <f t="shared" si="0"/>
        <v>722096.34000000008</v>
      </c>
      <c r="F38" s="6"/>
      <c r="G38" s="6"/>
      <c r="H38" s="2"/>
    </row>
    <row r="39" spans="1:8">
      <c r="A39" s="7">
        <v>46071</v>
      </c>
      <c r="B39" s="2" t="s">
        <v>32</v>
      </c>
      <c r="C39" s="10">
        <v>-2503.5300000000002</v>
      </c>
      <c r="D39" s="3">
        <v>4200</v>
      </c>
      <c r="E39" s="4">
        <f t="shared" si="0"/>
        <v>728799.87000000011</v>
      </c>
      <c r="F39" s="6"/>
      <c r="G39" s="6"/>
      <c r="H39" s="2"/>
    </row>
    <row r="40" spans="1:8">
      <c r="A40" s="7">
        <v>46069</v>
      </c>
      <c r="B40" s="2" t="s">
        <v>33</v>
      </c>
      <c r="C40" s="3">
        <v>11384.7</v>
      </c>
      <c r="D40" s="3"/>
      <c r="E40" s="4">
        <f t="shared" si="0"/>
        <v>717415.17000000016</v>
      </c>
      <c r="F40" s="6"/>
      <c r="G40" s="6"/>
      <c r="H40" s="2"/>
    </row>
    <row r="41" spans="1:8">
      <c r="A41" s="7">
        <v>46073</v>
      </c>
      <c r="B41" s="2" t="s">
        <v>23</v>
      </c>
      <c r="C41" s="3">
        <v>600000</v>
      </c>
      <c r="D41" s="3"/>
      <c r="E41" s="4">
        <f t="shared" si="0"/>
        <v>117415.17000000016</v>
      </c>
      <c r="F41" s="6"/>
      <c r="G41" s="6"/>
      <c r="H41" s="2"/>
    </row>
    <row r="42" spans="1:8">
      <c r="A42" s="7">
        <v>46076</v>
      </c>
      <c r="B42" s="2" t="s">
        <v>34</v>
      </c>
      <c r="C42" s="3">
        <v>31510.95</v>
      </c>
      <c r="D42" s="3"/>
      <c r="E42" s="4">
        <f t="shared" si="0"/>
        <v>85904.220000000161</v>
      </c>
      <c r="F42" s="6"/>
      <c r="G42" s="6"/>
      <c r="H42" s="2"/>
    </row>
    <row r="43" spans="1:8">
      <c r="A43" s="7">
        <v>46076</v>
      </c>
      <c r="B43" s="2" t="s">
        <v>35</v>
      </c>
      <c r="C43" s="3"/>
      <c r="D43" s="3">
        <v>6315.56</v>
      </c>
      <c r="E43" s="4">
        <f t="shared" si="0"/>
        <v>92219.780000000159</v>
      </c>
      <c r="F43" s="6"/>
      <c r="G43" s="6"/>
      <c r="H43" s="2"/>
    </row>
    <row r="44" spans="1:8">
      <c r="A44" s="7">
        <v>46076</v>
      </c>
      <c r="B44" s="2" t="s">
        <v>23</v>
      </c>
      <c r="C44" s="3">
        <v>90000</v>
      </c>
      <c r="D44" s="3"/>
      <c r="E44" s="4">
        <f t="shared" si="0"/>
        <v>2219.7800000001589</v>
      </c>
      <c r="F44" s="6"/>
      <c r="G44" s="6"/>
      <c r="H44" s="2"/>
    </row>
    <row r="45" spans="1:8">
      <c r="A45" s="7">
        <v>46077</v>
      </c>
      <c r="B45" s="2" t="s">
        <v>36</v>
      </c>
      <c r="C45" s="8">
        <f>D45-615869.25</f>
        <v>10350.75</v>
      </c>
      <c r="D45" s="3">
        <v>626220</v>
      </c>
      <c r="E45" s="4">
        <f t="shared" si="0"/>
        <v>618089.03000000014</v>
      </c>
      <c r="F45" s="6"/>
      <c r="G45" s="6"/>
      <c r="H45" s="2"/>
    </row>
    <row r="46" spans="1:8">
      <c r="A46" s="7">
        <v>46078</v>
      </c>
      <c r="B46" s="2" t="s">
        <v>28</v>
      </c>
      <c r="C46" s="3">
        <v>15396.73</v>
      </c>
      <c r="D46" s="3"/>
      <c r="E46" s="4">
        <f t="shared" si="0"/>
        <v>602692.30000000016</v>
      </c>
      <c r="F46" s="6"/>
      <c r="G46" s="6"/>
      <c r="H46" s="2"/>
    </row>
    <row r="47" spans="1:8">
      <c r="A47" s="7">
        <v>46078</v>
      </c>
      <c r="B47" s="2" t="s">
        <v>37</v>
      </c>
      <c r="C47" s="8">
        <f>D47-264111.16</f>
        <v>4438.8400000000256</v>
      </c>
      <c r="D47" s="3">
        <v>268550</v>
      </c>
      <c r="E47" s="4">
        <f t="shared" si="0"/>
        <v>866803.4600000002</v>
      </c>
      <c r="F47" s="6"/>
      <c r="G47" s="6"/>
      <c r="H47" s="2"/>
    </row>
    <row r="48" spans="1:8">
      <c r="A48" s="7">
        <v>46078</v>
      </c>
      <c r="B48" s="2" t="s">
        <v>38</v>
      </c>
      <c r="C48" s="3">
        <v>715466.71</v>
      </c>
      <c r="D48" s="3"/>
      <c r="E48" s="4">
        <f t="shared" si="0"/>
        <v>151336.75000000023</v>
      </c>
      <c r="F48" s="6"/>
      <c r="G48" s="6"/>
      <c r="H48" s="2"/>
    </row>
    <row r="49" spans="1:8">
      <c r="A49" s="7">
        <v>46078</v>
      </c>
      <c r="B49" s="2" t="s">
        <v>39</v>
      </c>
      <c r="C49" s="3"/>
      <c r="D49" s="3">
        <v>340000</v>
      </c>
      <c r="E49" s="4">
        <f t="shared" si="0"/>
        <v>491336.75000000023</v>
      </c>
      <c r="F49" s="6"/>
      <c r="G49" s="6"/>
      <c r="H49" s="2"/>
    </row>
    <row r="50" spans="1:8">
      <c r="A50" s="7">
        <v>46079</v>
      </c>
      <c r="B50" s="2" t="s">
        <v>28</v>
      </c>
      <c r="C50" s="3">
        <v>8500</v>
      </c>
      <c r="D50" s="3"/>
      <c r="E50" s="4">
        <f t="shared" si="0"/>
        <v>482836.75000000023</v>
      </c>
      <c r="F50" s="6"/>
      <c r="G50" s="6"/>
      <c r="H50" s="2"/>
    </row>
    <row r="51" spans="1:8">
      <c r="A51" s="7">
        <v>46079</v>
      </c>
      <c r="B51" s="2" t="s">
        <v>28</v>
      </c>
      <c r="C51" s="3">
        <v>6602.77</v>
      </c>
      <c r="D51" s="3"/>
      <c r="E51" s="4">
        <f t="shared" si="0"/>
        <v>476233.98000000021</v>
      </c>
      <c r="F51" s="6"/>
      <c r="G51" s="6"/>
      <c r="H51" s="2"/>
    </row>
    <row r="52" spans="1:8">
      <c r="A52" s="7">
        <v>46083</v>
      </c>
      <c r="B52" s="2" t="s">
        <v>6</v>
      </c>
      <c r="C52" s="8">
        <f>D52-631748.36</f>
        <v>9251.640000000014</v>
      </c>
      <c r="D52" s="3">
        <v>641000</v>
      </c>
      <c r="E52" s="4">
        <f t="shared" si="0"/>
        <v>1107982.3400000003</v>
      </c>
      <c r="F52" s="6"/>
      <c r="G52" s="6"/>
      <c r="H52" s="2"/>
    </row>
    <row r="53" spans="1:8">
      <c r="A53" s="7">
        <v>46083</v>
      </c>
      <c r="B53" s="2" t="s">
        <v>8</v>
      </c>
      <c r="C53" s="3">
        <v>53899.27</v>
      </c>
      <c r="D53" s="3"/>
      <c r="E53" s="4">
        <f t="shared" si="0"/>
        <v>1054083.0700000003</v>
      </c>
      <c r="F53" s="6"/>
      <c r="G53" s="6"/>
      <c r="H53" s="2"/>
    </row>
    <row r="54" spans="1:8">
      <c r="A54" s="7">
        <v>46083</v>
      </c>
      <c r="B54" s="2" t="s">
        <v>9</v>
      </c>
      <c r="C54" s="3"/>
      <c r="D54" s="3">
        <v>1200000</v>
      </c>
      <c r="E54" s="4">
        <f t="shared" si="0"/>
        <v>2254083.0700000003</v>
      </c>
      <c r="F54" s="6"/>
      <c r="G54" s="6"/>
      <c r="H54" s="2"/>
    </row>
    <row r="55" spans="1:8">
      <c r="A55" s="7">
        <v>46083</v>
      </c>
      <c r="B55" s="2" t="s">
        <v>40</v>
      </c>
      <c r="C55" s="3">
        <v>1599501.8</v>
      </c>
      <c r="D55" s="3"/>
      <c r="E55" s="4">
        <f t="shared" si="0"/>
        <v>654581.27000000025</v>
      </c>
      <c r="F55" s="5">
        <v>1118</v>
      </c>
      <c r="G55" s="6"/>
      <c r="H55" s="2"/>
    </row>
    <row r="56" spans="1:8">
      <c r="A56" s="7">
        <v>46084</v>
      </c>
      <c r="B56" s="2" t="s">
        <v>28</v>
      </c>
      <c r="C56" s="3">
        <v>15793.7</v>
      </c>
      <c r="D56" s="3"/>
      <c r="E56" s="4">
        <f t="shared" si="0"/>
        <v>638787.5700000003</v>
      </c>
      <c r="F56" s="6"/>
      <c r="G56" s="6"/>
      <c r="H56" s="2"/>
    </row>
    <row r="57" spans="1:8">
      <c r="A57" s="7">
        <v>46084</v>
      </c>
      <c r="B57" s="2" t="s">
        <v>28</v>
      </c>
      <c r="C57" s="3">
        <v>30000</v>
      </c>
      <c r="D57" s="3"/>
      <c r="E57" s="4">
        <f t="shared" si="0"/>
        <v>608787.5700000003</v>
      </c>
      <c r="F57" s="6"/>
      <c r="G57" s="6"/>
      <c r="H57" s="2"/>
    </row>
    <row r="58" spans="1:8">
      <c r="A58" s="7">
        <v>46087</v>
      </c>
      <c r="B58" s="2" t="s">
        <v>10</v>
      </c>
      <c r="C58" s="3">
        <v>289698.71000000002</v>
      </c>
      <c r="D58" s="3"/>
      <c r="E58" s="4">
        <f t="shared" si="0"/>
        <v>319088.86000000028</v>
      </c>
      <c r="F58" s="6"/>
      <c r="G58" s="6"/>
      <c r="H58" s="2"/>
    </row>
    <row r="59" spans="1:8">
      <c r="A59" s="7">
        <v>46090</v>
      </c>
      <c r="B59" s="2" t="s">
        <v>41</v>
      </c>
      <c r="C59" s="8">
        <f>D59-1968909.09</f>
        <v>33090.909999999916</v>
      </c>
      <c r="D59" s="3">
        <v>2002000</v>
      </c>
      <c r="E59" s="4">
        <f t="shared" si="0"/>
        <v>2287997.9500000002</v>
      </c>
      <c r="F59" s="6"/>
      <c r="G59" s="6"/>
      <c r="H59" s="2"/>
    </row>
    <row r="60" spans="1:8">
      <c r="A60" s="7">
        <v>46090</v>
      </c>
      <c r="B60" s="2" t="s">
        <v>42</v>
      </c>
      <c r="C60" s="3">
        <v>739487.95</v>
      </c>
      <c r="D60" s="3"/>
      <c r="E60" s="4">
        <f t="shared" si="0"/>
        <v>1548510.0000000002</v>
      </c>
      <c r="F60" s="6"/>
      <c r="G60" s="6"/>
      <c r="H60" s="2"/>
    </row>
    <row r="61" spans="1:8">
      <c r="A61" s="7">
        <v>46091</v>
      </c>
      <c r="B61" s="2" t="s">
        <v>28</v>
      </c>
      <c r="C61" s="3">
        <v>49222.720000000001</v>
      </c>
      <c r="D61" s="3"/>
      <c r="E61" s="4">
        <f t="shared" si="0"/>
        <v>1499287.2800000003</v>
      </c>
      <c r="F61" s="6"/>
      <c r="G61" s="6"/>
      <c r="H61" s="2"/>
    </row>
    <row r="62" spans="1:8">
      <c r="A62" s="7">
        <v>46091</v>
      </c>
      <c r="B62" s="2" t="s">
        <v>43</v>
      </c>
      <c r="C62" s="3"/>
      <c r="D62" s="3">
        <v>60000</v>
      </c>
      <c r="E62" s="4">
        <f t="shared" si="0"/>
        <v>1559287.2800000003</v>
      </c>
      <c r="F62" s="6"/>
      <c r="G62" s="6"/>
      <c r="H62" s="2"/>
    </row>
    <row r="63" spans="1:8">
      <c r="A63" s="7">
        <v>46091</v>
      </c>
      <c r="B63" s="2" t="s">
        <v>23</v>
      </c>
      <c r="C63" s="3">
        <v>300000</v>
      </c>
      <c r="D63" s="3"/>
      <c r="E63" s="4">
        <f t="shared" si="0"/>
        <v>1259287.2800000003</v>
      </c>
      <c r="F63" s="6"/>
      <c r="G63" s="6"/>
      <c r="H63" s="2"/>
    </row>
    <row r="64" spans="1:8">
      <c r="A64" s="7">
        <v>46091</v>
      </c>
      <c r="B64" s="2" t="s">
        <v>23</v>
      </c>
      <c r="C64" s="3">
        <v>300000</v>
      </c>
      <c r="D64" s="3"/>
      <c r="E64" s="4">
        <f t="shared" si="0"/>
        <v>959287.28000000026</v>
      </c>
      <c r="F64" s="6"/>
      <c r="G64" s="6"/>
      <c r="H64" s="2"/>
    </row>
    <row r="65" spans="1:8">
      <c r="A65" s="7">
        <v>46091</v>
      </c>
      <c r="B65" s="2" t="s">
        <v>44</v>
      </c>
      <c r="C65" s="3"/>
      <c r="D65" s="3"/>
      <c r="E65" s="4">
        <f t="shared" si="0"/>
        <v>959287.28000000026</v>
      </c>
      <c r="F65" s="6"/>
      <c r="G65" s="6"/>
      <c r="H65" s="2"/>
    </row>
    <row r="66" spans="1:8">
      <c r="A66" s="7">
        <v>46092</v>
      </c>
      <c r="B66" s="2" t="s">
        <v>45</v>
      </c>
      <c r="C66" s="3">
        <v>1500</v>
      </c>
      <c r="D66" s="3"/>
      <c r="E66" s="4">
        <f t="shared" si="0"/>
        <v>957787.28000000026</v>
      </c>
      <c r="F66" s="6"/>
      <c r="G66" s="6"/>
      <c r="H66" s="2"/>
    </row>
    <row r="67" spans="1:8">
      <c r="A67" s="7">
        <v>46093</v>
      </c>
      <c r="B67" s="2" t="s">
        <v>11</v>
      </c>
      <c r="C67" s="3"/>
      <c r="D67" s="3">
        <v>600000</v>
      </c>
      <c r="E67" s="4">
        <f t="shared" si="0"/>
        <v>1557787.2800000003</v>
      </c>
      <c r="F67" s="6"/>
      <c r="G67" s="6"/>
      <c r="H67" s="2"/>
    </row>
    <row r="68" spans="1:8">
      <c r="A68" s="7">
        <v>46093</v>
      </c>
      <c r="B68" s="2" t="s">
        <v>46</v>
      </c>
      <c r="C68" s="3">
        <v>1489181.03</v>
      </c>
      <c r="D68" s="3"/>
      <c r="E68" s="4">
        <f t="shared" si="0"/>
        <v>68606.250000000233</v>
      </c>
      <c r="F68" s="5">
        <v>1044</v>
      </c>
      <c r="G68" s="6"/>
      <c r="H68" s="2"/>
    </row>
    <row r="69" spans="1:8">
      <c r="A69" s="7">
        <v>46094</v>
      </c>
      <c r="B69" s="2" t="s">
        <v>47</v>
      </c>
      <c r="C69" s="3"/>
      <c r="D69" s="3">
        <v>1200000</v>
      </c>
      <c r="E69" s="4">
        <f t="shared" si="0"/>
        <v>1268606.2500000002</v>
      </c>
      <c r="F69" s="6"/>
      <c r="G69" s="6"/>
      <c r="H69" s="2"/>
    </row>
    <row r="70" spans="1:8">
      <c r="A70" s="7">
        <v>46097</v>
      </c>
      <c r="B70" s="2" t="s">
        <v>45</v>
      </c>
      <c r="C70" s="3">
        <v>30000</v>
      </c>
      <c r="D70" s="3"/>
      <c r="E70" s="4">
        <f t="shared" si="0"/>
        <v>1238606.2500000002</v>
      </c>
      <c r="F70" s="6"/>
      <c r="G70" s="6"/>
      <c r="H70" s="2"/>
    </row>
    <row r="71" spans="1:8">
      <c r="A71" s="7">
        <v>46097</v>
      </c>
      <c r="B71" s="2" t="s">
        <v>48</v>
      </c>
      <c r="C71" s="3">
        <v>11384.7</v>
      </c>
      <c r="D71" s="3"/>
      <c r="E71" s="4">
        <f t="shared" si="0"/>
        <v>1227221.5500000003</v>
      </c>
      <c r="F71" s="6"/>
      <c r="G71" s="6"/>
      <c r="H71" s="2"/>
    </row>
    <row r="72" spans="1:8">
      <c r="A72" s="7">
        <v>46098</v>
      </c>
      <c r="B72" s="2" t="s">
        <v>7</v>
      </c>
      <c r="C72" s="3">
        <v>1220000</v>
      </c>
      <c r="D72" s="3"/>
      <c r="E72" s="4">
        <f t="shared" si="0"/>
        <v>7221.5500000002794</v>
      </c>
      <c r="F72" s="6"/>
      <c r="G72" s="6"/>
      <c r="H72" s="2"/>
    </row>
    <row r="73" spans="1:8">
      <c r="A73" s="7">
        <v>46111</v>
      </c>
      <c r="B73" s="2" t="s">
        <v>11</v>
      </c>
      <c r="C73" s="3"/>
      <c r="D73" s="3">
        <v>80000</v>
      </c>
      <c r="E73" s="4">
        <f t="shared" si="0"/>
        <v>87221.550000000279</v>
      </c>
      <c r="F73" s="6"/>
      <c r="G73" s="6"/>
      <c r="H73" s="2"/>
    </row>
    <row r="74" spans="1:8">
      <c r="A74" s="7">
        <v>46111</v>
      </c>
      <c r="B74" s="2" t="s">
        <v>11</v>
      </c>
      <c r="C74" s="3"/>
      <c r="D74" s="3">
        <v>15000</v>
      </c>
      <c r="E74" s="4">
        <f t="shared" si="0"/>
        <v>102221.55000000028</v>
      </c>
      <c r="F74" s="6"/>
      <c r="G74" s="6"/>
      <c r="H74" s="2"/>
    </row>
    <row r="75" spans="1:8">
      <c r="A75" s="7">
        <v>46113</v>
      </c>
      <c r="B75" s="2" t="s">
        <v>49</v>
      </c>
      <c r="C75" s="3">
        <v>72000</v>
      </c>
      <c r="D75" s="3"/>
      <c r="E75" s="4">
        <f t="shared" si="0"/>
        <v>30221.550000000279</v>
      </c>
      <c r="F75" s="6"/>
      <c r="G75" s="6"/>
      <c r="H75" s="2"/>
    </row>
    <row r="76" spans="1:8">
      <c r="A76" s="7">
        <v>46113</v>
      </c>
      <c r="B76" s="2" t="s">
        <v>49</v>
      </c>
      <c r="C76" s="3">
        <v>11700</v>
      </c>
      <c r="D76" s="3"/>
      <c r="E76" s="4">
        <f t="shared" si="0"/>
        <v>18521.550000000279</v>
      </c>
      <c r="F76" s="6"/>
      <c r="G76" s="6"/>
      <c r="H76" s="2"/>
    </row>
    <row r="77" spans="1:8">
      <c r="A77" s="7">
        <v>46113</v>
      </c>
      <c r="B77" s="2" t="s">
        <v>6</v>
      </c>
      <c r="C77" s="8">
        <f>D77-929443.09</f>
        <v>14254.910000000033</v>
      </c>
      <c r="D77" s="3">
        <v>943698</v>
      </c>
      <c r="E77" s="4">
        <f t="shared" si="0"/>
        <v>947964.64000000025</v>
      </c>
      <c r="F77" s="6"/>
      <c r="G77" s="6"/>
      <c r="H77" s="2"/>
    </row>
    <row r="78" spans="1:8">
      <c r="A78" s="7">
        <v>46113</v>
      </c>
      <c r="B78" s="2" t="s">
        <v>8</v>
      </c>
      <c r="C78" s="3">
        <v>57737.78</v>
      </c>
      <c r="D78" s="3"/>
      <c r="E78" s="4">
        <f t="shared" si="0"/>
        <v>890226.86000000022</v>
      </c>
      <c r="F78" s="6"/>
      <c r="G78" s="6"/>
      <c r="H78" s="2"/>
    </row>
    <row r="79" spans="1:8">
      <c r="A79" s="7">
        <v>46114</v>
      </c>
      <c r="B79" s="2" t="s">
        <v>50</v>
      </c>
      <c r="C79" s="3">
        <v>200000</v>
      </c>
      <c r="D79" s="3"/>
      <c r="E79" s="4">
        <f t="shared" si="0"/>
        <v>690226.86000000022</v>
      </c>
      <c r="F79" s="6"/>
      <c r="G79" s="6"/>
      <c r="H79" s="2"/>
    </row>
    <row r="80" spans="1:8">
      <c r="A80" s="7">
        <v>46114</v>
      </c>
      <c r="B80" s="2" t="s">
        <v>51</v>
      </c>
      <c r="C80" s="3">
        <v>3700.96</v>
      </c>
      <c r="D80" s="3"/>
      <c r="E80" s="4">
        <f t="shared" si="0"/>
        <v>686525.90000000026</v>
      </c>
      <c r="F80" s="6"/>
      <c r="G80" s="6"/>
      <c r="H80" s="2"/>
    </row>
    <row r="81" spans="1:8">
      <c r="A81" s="7">
        <v>46118</v>
      </c>
      <c r="B81" s="2" t="s">
        <v>23</v>
      </c>
      <c r="C81" s="3">
        <v>680000</v>
      </c>
      <c r="D81" s="3"/>
      <c r="E81" s="4">
        <f t="shared" si="0"/>
        <v>6525.9000000002561</v>
      </c>
      <c r="F81" s="6"/>
      <c r="G81" s="6"/>
      <c r="H81" s="2"/>
    </row>
    <row r="82" spans="1:8">
      <c r="A82" s="7">
        <v>46119</v>
      </c>
      <c r="B82" s="2" t="s">
        <v>52</v>
      </c>
      <c r="C82" s="8">
        <f>D82-1107962.16</f>
        <v>18621.219999999972</v>
      </c>
      <c r="D82" s="3">
        <v>1126583.3799999999</v>
      </c>
      <c r="E82" s="4">
        <f t="shared" si="0"/>
        <v>1114488.0600000003</v>
      </c>
      <c r="F82" s="6"/>
      <c r="G82" s="6"/>
      <c r="H82" s="2"/>
    </row>
    <row r="83" spans="1:8">
      <c r="A83" s="7">
        <v>46119</v>
      </c>
      <c r="B83" s="2" t="s">
        <v>53</v>
      </c>
      <c r="C83" s="3">
        <v>804944.71</v>
      </c>
      <c r="D83" s="3"/>
      <c r="E83" s="4">
        <f t="shared" si="0"/>
        <v>309543.35000000033</v>
      </c>
      <c r="F83" s="6"/>
      <c r="G83" s="6"/>
      <c r="H83" s="2"/>
    </row>
    <row r="84" spans="1:8">
      <c r="A84" s="7">
        <v>46120</v>
      </c>
      <c r="B84" s="2" t="s">
        <v>9</v>
      </c>
      <c r="C84" s="3"/>
      <c r="D84" s="3">
        <v>400000</v>
      </c>
      <c r="E84" s="4">
        <f t="shared" si="0"/>
        <v>709543.35000000033</v>
      </c>
      <c r="F84" s="6"/>
      <c r="G84" s="6"/>
      <c r="H84" s="2"/>
    </row>
    <row r="85" spans="1:8">
      <c r="A85" s="7">
        <v>46121</v>
      </c>
      <c r="B85" s="2" t="s">
        <v>10</v>
      </c>
      <c r="C85" s="3">
        <v>78516.460000000006</v>
      </c>
      <c r="D85" s="3"/>
      <c r="E85" s="4">
        <f t="shared" si="0"/>
        <v>631026.89000000036</v>
      </c>
      <c r="F85" s="6"/>
      <c r="G85" s="6"/>
      <c r="H85" s="2"/>
    </row>
    <row r="86" spans="1:8">
      <c r="A86" s="7">
        <v>46121</v>
      </c>
      <c r="B86" s="2" t="s">
        <v>23</v>
      </c>
      <c r="C86" s="3">
        <v>600000</v>
      </c>
      <c r="D86" s="3"/>
      <c r="E86" s="4">
        <f t="shared" si="0"/>
        <v>31026.890000000363</v>
      </c>
      <c r="F86" s="6"/>
      <c r="G86" s="6"/>
      <c r="H86" s="2"/>
    </row>
    <row r="87" spans="1:8">
      <c r="A87" s="7">
        <v>46122</v>
      </c>
      <c r="B87" s="2" t="s">
        <v>54</v>
      </c>
      <c r="C87" s="8">
        <f>D87-4485812.2</f>
        <v>75391.799999999814</v>
      </c>
      <c r="D87" s="3">
        <v>4561204</v>
      </c>
      <c r="E87" s="4">
        <f t="shared" si="0"/>
        <v>4516839.0900000008</v>
      </c>
      <c r="F87" s="6"/>
      <c r="G87" s="6"/>
      <c r="H87" s="2"/>
    </row>
    <row r="88" spans="1:8">
      <c r="A88" s="7">
        <v>46122</v>
      </c>
      <c r="B88" s="2" t="s">
        <v>55</v>
      </c>
      <c r="C88" s="5">
        <v>3606597.47</v>
      </c>
      <c r="D88" s="3"/>
      <c r="E88" s="4">
        <f t="shared" si="0"/>
        <v>910241.62000000058</v>
      </c>
      <c r="F88" s="6"/>
      <c r="G88" s="6"/>
      <c r="H88" s="2"/>
    </row>
    <row r="89" spans="1:8">
      <c r="A89" s="7">
        <v>46122</v>
      </c>
      <c r="B89" s="2" t="s">
        <v>56</v>
      </c>
      <c r="C89" s="3">
        <v>803122.68</v>
      </c>
      <c r="D89" s="3"/>
      <c r="E89" s="4">
        <f t="shared" si="0"/>
        <v>107118.94000000053</v>
      </c>
      <c r="F89" s="5">
        <v>570</v>
      </c>
      <c r="G89" s="6"/>
      <c r="H89" s="2"/>
    </row>
    <row r="90" spans="1:8">
      <c r="A90" s="7">
        <v>46122</v>
      </c>
      <c r="B90" s="2" t="s">
        <v>35</v>
      </c>
      <c r="C90" s="3"/>
      <c r="D90" s="3">
        <v>13967.85</v>
      </c>
      <c r="E90" s="4">
        <f t="shared" si="0"/>
        <v>121086.79000000053</v>
      </c>
      <c r="F90" s="6"/>
      <c r="G90" s="6"/>
      <c r="H90" s="2"/>
    </row>
    <row r="91" spans="1:8">
      <c r="A91" s="7">
        <v>46127</v>
      </c>
      <c r="B91" s="2" t="s">
        <v>57</v>
      </c>
      <c r="C91" s="3"/>
      <c r="D91" s="3">
        <v>1000000</v>
      </c>
      <c r="E91" s="4">
        <f t="shared" si="0"/>
        <v>1121086.7900000005</v>
      </c>
      <c r="F91" s="6"/>
      <c r="G91" s="6"/>
      <c r="H91" s="2"/>
    </row>
    <row r="92" spans="1:8">
      <c r="A92" s="7">
        <v>46127</v>
      </c>
      <c r="B92" s="2" t="s">
        <v>58</v>
      </c>
      <c r="C92" s="3">
        <v>999633.04</v>
      </c>
      <c r="D92" s="3"/>
      <c r="E92" s="4">
        <f t="shared" si="0"/>
        <v>121453.75000000047</v>
      </c>
      <c r="F92" s="5">
        <v>724</v>
      </c>
      <c r="G92" s="6"/>
      <c r="H92" s="2"/>
    </row>
    <row r="93" spans="1:8">
      <c r="A93" s="7">
        <v>46128</v>
      </c>
      <c r="B93" s="2" t="s">
        <v>59</v>
      </c>
      <c r="C93" s="3">
        <v>11384.7</v>
      </c>
      <c r="D93" s="3"/>
      <c r="E93" s="4">
        <f t="shared" si="0"/>
        <v>110069.05000000047</v>
      </c>
      <c r="F93" s="6"/>
      <c r="G93" s="6"/>
      <c r="H93" s="2"/>
    </row>
    <row r="94" spans="1:8">
      <c r="A94" s="7">
        <v>46135</v>
      </c>
      <c r="B94" s="2" t="s">
        <v>60</v>
      </c>
      <c r="C94" s="3"/>
      <c r="D94" s="3">
        <v>1502311.56</v>
      </c>
      <c r="E94" s="4">
        <f t="shared" si="0"/>
        <v>1612380.6100000006</v>
      </c>
      <c r="F94" s="5">
        <v>-1072</v>
      </c>
      <c r="G94" s="6"/>
      <c r="H94" s="2" t="s">
        <v>61</v>
      </c>
    </row>
    <row r="95" spans="1:8">
      <c r="A95" s="7">
        <v>46135</v>
      </c>
      <c r="B95" s="2" t="s">
        <v>11</v>
      </c>
      <c r="C95" s="3"/>
      <c r="D95" s="3">
        <v>388000</v>
      </c>
      <c r="E95" s="4">
        <f t="shared" si="0"/>
        <v>2000380.6100000006</v>
      </c>
      <c r="F95" s="5"/>
      <c r="G95" s="6"/>
      <c r="H95" s="2"/>
    </row>
    <row r="96" spans="1:8">
      <c r="A96" s="7">
        <v>46135</v>
      </c>
      <c r="B96" s="2" t="s">
        <v>62</v>
      </c>
      <c r="C96" s="3">
        <v>2000000</v>
      </c>
      <c r="D96" s="3"/>
      <c r="E96" s="4">
        <f t="shared" si="0"/>
        <v>380.61000000056811</v>
      </c>
      <c r="F96" s="5"/>
      <c r="G96" s="6"/>
      <c r="H96" s="2"/>
    </row>
    <row r="97" spans="1:8">
      <c r="A97" s="7">
        <v>46136</v>
      </c>
      <c r="B97" s="2" t="s">
        <v>63</v>
      </c>
      <c r="C97" s="3"/>
      <c r="D97" s="3">
        <v>100520.09</v>
      </c>
      <c r="E97" s="4">
        <f t="shared" si="0"/>
        <v>100900.70000000056</v>
      </c>
      <c r="F97" s="5">
        <v>-71</v>
      </c>
      <c r="G97" s="6"/>
      <c r="H97" s="2"/>
    </row>
    <row r="98" spans="1:8">
      <c r="A98" s="7">
        <v>46136</v>
      </c>
      <c r="B98" s="2" t="s">
        <v>23</v>
      </c>
      <c r="C98" s="3">
        <v>100000</v>
      </c>
      <c r="D98" s="3"/>
      <c r="E98" s="4">
        <f t="shared" si="0"/>
        <v>900.70000000056461</v>
      </c>
      <c r="F98" s="5"/>
      <c r="G98" s="6"/>
      <c r="H98" s="2"/>
    </row>
    <row r="99" spans="1:8">
      <c r="A99" s="7">
        <v>46140</v>
      </c>
      <c r="B99" s="2" t="s">
        <v>64</v>
      </c>
      <c r="C99" s="3"/>
      <c r="D99" s="3">
        <v>8500</v>
      </c>
      <c r="E99" s="4">
        <f t="shared" si="0"/>
        <v>9400.7000000005646</v>
      </c>
      <c r="F99" s="5"/>
      <c r="G99" s="6"/>
      <c r="H99" s="2"/>
    </row>
    <row r="100" spans="1:8">
      <c r="A100" s="7">
        <v>46141</v>
      </c>
      <c r="B100" s="2" t="s">
        <v>65</v>
      </c>
      <c r="C100" s="3"/>
      <c r="D100" s="3">
        <v>401349.11</v>
      </c>
      <c r="E100" s="4">
        <f t="shared" si="0"/>
        <v>410749.81000000052</v>
      </c>
      <c r="F100" s="5">
        <v>-282</v>
      </c>
      <c r="G100" s="6"/>
      <c r="H100" s="2" t="s">
        <v>66</v>
      </c>
    </row>
    <row r="101" spans="1:8">
      <c r="A101" s="7">
        <v>46141</v>
      </c>
      <c r="B101" s="2" t="s">
        <v>67</v>
      </c>
      <c r="C101" s="3">
        <v>400000</v>
      </c>
      <c r="D101" s="3"/>
      <c r="E101" s="4">
        <f t="shared" si="0"/>
        <v>10749.810000000522</v>
      </c>
      <c r="F101" s="6"/>
      <c r="G101" s="6"/>
      <c r="H101" s="2"/>
    </row>
    <row r="102" spans="1:8">
      <c r="A102" s="7">
        <v>46141</v>
      </c>
      <c r="B102" s="2" t="s">
        <v>68</v>
      </c>
      <c r="C102" s="3"/>
      <c r="D102" s="3">
        <v>1.87</v>
      </c>
      <c r="E102" s="4">
        <f t="shared" si="0"/>
        <v>10751.680000000522</v>
      </c>
      <c r="F102" s="6"/>
      <c r="G102" s="6"/>
      <c r="H102" s="2" t="s">
        <v>69</v>
      </c>
    </row>
    <row r="103" spans="1:8">
      <c r="A103" s="7">
        <v>46146</v>
      </c>
      <c r="B103" s="2" t="s">
        <v>6</v>
      </c>
      <c r="C103" s="8">
        <f>D103-629587.67</f>
        <v>9215.3299999999581</v>
      </c>
      <c r="D103" s="3">
        <v>638803</v>
      </c>
      <c r="E103" s="4">
        <f t="shared" si="0"/>
        <v>640339.35000000056</v>
      </c>
      <c r="F103" s="6"/>
      <c r="G103" s="6"/>
      <c r="H103" s="2"/>
    </row>
    <row r="104" spans="1:8">
      <c r="A104" s="7">
        <v>46146</v>
      </c>
      <c r="B104" s="2" t="s">
        <v>70</v>
      </c>
      <c r="C104" s="3">
        <v>500000</v>
      </c>
      <c r="D104" s="3"/>
      <c r="E104" s="4">
        <f t="shared" si="0"/>
        <v>140339.35000000056</v>
      </c>
      <c r="F104" s="6"/>
      <c r="G104" s="6"/>
      <c r="H104" s="2"/>
    </row>
    <row r="105" spans="1:8">
      <c r="A105" s="7">
        <v>46146</v>
      </c>
      <c r="B105" s="2" t="s">
        <v>8</v>
      </c>
      <c r="C105" s="3">
        <v>59989.54</v>
      </c>
      <c r="D105" s="3"/>
      <c r="E105" s="4">
        <f t="shared" si="0"/>
        <v>80349.810000000551</v>
      </c>
      <c r="F105" s="6"/>
      <c r="G105" s="6"/>
      <c r="H105" s="2"/>
    </row>
    <row r="106" spans="1:8">
      <c r="A106" s="7">
        <v>46147</v>
      </c>
      <c r="B106" s="2" t="s">
        <v>51</v>
      </c>
      <c r="C106" s="3">
        <f>1924.39+404.12</f>
        <v>2328.5100000000002</v>
      </c>
      <c r="D106" s="3"/>
      <c r="E106" s="4">
        <f t="shared" si="0"/>
        <v>78021.300000000556</v>
      </c>
      <c r="F106" s="6"/>
      <c r="G106" s="6"/>
      <c r="H106" s="2"/>
    </row>
    <row r="107" spans="1:8">
      <c r="A107" s="7">
        <v>46147</v>
      </c>
      <c r="B107" s="2" t="s">
        <v>71</v>
      </c>
      <c r="C107" s="8">
        <f>D107-132768.6</f>
        <v>2231.3999999999942</v>
      </c>
      <c r="D107" s="3">
        <v>135000</v>
      </c>
      <c r="E107" s="4">
        <f t="shared" si="0"/>
        <v>210789.90000000058</v>
      </c>
      <c r="F107" s="6"/>
      <c r="G107" s="6"/>
      <c r="H107" s="2"/>
    </row>
    <row r="108" spans="1:8">
      <c r="A108" s="7">
        <v>46150</v>
      </c>
      <c r="B108" s="2" t="s">
        <v>9</v>
      </c>
      <c r="C108" s="3"/>
      <c r="D108" s="3">
        <v>680000</v>
      </c>
      <c r="E108" s="4">
        <f t="shared" si="0"/>
        <v>890789.90000000061</v>
      </c>
      <c r="F108" s="6"/>
      <c r="G108" s="6"/>
      <c r="H108" s="2"/>
    </row>
    <row r="109" spans="1:8">
      <c r="A109" s="7">
        <v>46150</v>
      </c>
      <c r="B109" s="2" t="s">
        <v>10</v>
      </c>
      <c r="C109" s="3">
        <v>890789.9</v>
      </c>
      <c r="D109" s="3"/>
      <c r="E109" s="4">
        <f t="shared" si="0"/>
        <v>0</v>
      </c>
      <c r="F109" s="6"/>
      <c r="G109" s="6"/>
      <c r="H109" s="2"/>
    </row>
    <row r="110" spans="1:8">
      <c r="A110" s="7">
        <v>46151</v>
      </c>
      <c r="B110" s="2" t="s">
        <v>57</v>
      </c>
      <c r="C110" s="3"/>
      <c r="D110" s="3">
        <v>16000</v>
      </c>
      <c r="E110" s="4">
        <f t="shared" si="0"/>
        <v>16000</v>
      </c>
      <c r="F110" s="6"/>
      <c r="G110" s="6"/>
      <c r="H110" s="2"/>
    </row>
    <row r="111" spans="1:8">
      <c r="A111" s="7">
        <v>46151</v>
      </c>
      <c r="B111" s="2" t="s">
        <v>11</v>
      </c>
      <c r="C111" s="3"/>
      <c r="D111" s="3">
        <v>50000</v>
      </c>
      <c r="E111" s="4">
        <f t="shared" si="0"/>
        <v>66000</v>
      </c>
      <c r="F111" s="6"/>
      <c r="G111" s="6"/>
      <c r="H111" s="2"/>
    </row>
    <row r="112" spans="1:8">
      <c r="A112" s="7">
        <v>46152</v>
      </c>
      <c r="B112" s="2" t="s">
        <v>72</v>
      </c>
      <c r="C112" s="3"/>
      <c r="D112" s="3"/>
      <c r="E112" s="4">
        <f t="shared" si="0"/>
        <v>66000</v>
      </c>
      <c r="F112" s="6"/>
      <c r="G112" s="6"/>
      <c r="H112" s="2" t="s">
        <v>73</v>
      </c>
    </row>
    <row r="113" spans="1:8">
      <c r="A113" s="7">
        <v>46153</v>
      </c>
      <c r="B113" s="2" t="s">
        <v>10</v>
      </c>
      <c r="C113" s="3">
        <v>38105.15</v>
      </c>
      <c r="D113" s="3"/>
      <c r="E113" s="4">
        <f t="shared" si="0"/>
        <v>27894.85</v>
      </c>
      <c r="F113" s="6"/>
      <c r="G113" s="6"/>
      <c r="H113" s="2"/>
    </row>
    <row r="114" spans="1:8">
      <c r="A114" s="7">
        <v>46160</v>
      </c>
      <c r="B114" s="2" t="s">
        <v>74</v>
      </c>
      <c r="C114" s="3">
        <v>11384.7</v>
      </c>
      <c r="D114" s="3"/>
      <c r="E114" s="4">
        <f t="shared" si="0"/>
        <v>16510.149999999998</v>
      </c>
      <c r="F114" s="6"/>
      <c r="G114" s="6"/>
      <c r="H114" s="2"/>
    </row>
    <row r="115" spans="1:8">
      <c r="A115" s="7">
        <v>46174</v>
      </c>
      <c r="B115" s="2" t="s">
        <v>6</v>
      </c>
      <c r="C115" s="8">
        <f>D115-636247.74</f>
        <v>9327.2600000000093</v>
      </c>
      <c r="D115" s="3">
        <v>645575</v>
      </c>
      <c r="E115" s="4">
        <f t="shared" si="0"/>
        <v>652757.89</v>
      </c>
      <c r="F115" s="6"/>
      <c r="G115" s="6"/>
      <c r="H115" s="2"/>
    </row>
    <row r="116" spans="1:8">
      <c r="A116" s="7">
        <v>46174</v>
      </c>
      <c r="B116" s="2" t="s">
        <v>8</v>
      </c>
      <c r="C116" s="3">
        <v>61789.24</v>
      </c>
      <c r="D116" s="3"/>
      <c r="E116" s="4">
        <f t="shared" si="0"/>
        <v>590968.65</v>
      </c>
      <c r="F116" s="6"/>
      <c r="G116" s="6"/>
      <c r="H116" s="2"/>
    </row>
    <row r="117" spans="1:8">
      <c r="A117" s="7">
        <v>46175</v>
      </c>
      <c r="B117" s="2" t="s">
        <v>75</v>
      </c>
      <c r="C117" s="3">
        <v>498600.37</v>
      </c>
      <c r="D117" s="3"/>
      <c r="E117" s="4">
        <f t="shared" si="0"/>
        <v>92368.280000000028</v>
      </c>
      <c r="F117" s="6">
        <f>C117/1435</f>
        <v>347.45670383275262</v>
      </c>
      <c r="G117" s="6"/>
      <c r="H117" s="2"/>
    </row>
    <row r="118" spans="1:8">
      <c r="A118" s="7">
        <v>46177</v>
      </c>
      <c r="B118" s="2" t="s">
        <v>51</v>
      </c>
      <c r="C118" s="3">
        <f>1496.43+314.25</f>
        <v>1810.68</v>
      </c>
      <c r="D118" s="3"/>
      <c r="E118" s="4">
        <f t="shared" si="0"/>
        <v>90557.600000000035</v>
      </c>
      <c r="F118" s="6"/>
      <c r="G118" s="6"/>
      <c r="H118" s="2"/>
    </row>
    <row r="119" spans="1:8">
      <c r="A119" s="7">
        <v>46178</v>
      </c>
      <c r="B119" s="2" t="s">
        <v>10</v>
      </c>
      <c r="C119" s="3">
        <f>58380.25+32177.62</f>
        <v>90557.87</v>
      </c>
      <c r="D119" s="3"/>
      <c r="E119" s="4">
        <f t="shared" si="0"/>
        <v>-0.26999999996041879</v>
      </c>
      <c r="F119" s="6"/>
      <c r="G119" s="6"/>
      <c r="H119" s="2"/>
    </row>
    <row r="120" spans="1:8">
      <c r="A120" s="7">
        <v>46180</v>
      </c>
      <c r="B120" s="2" t="s">
        <v>9</v>
      </c>
      <c r="C120" s="3"/>
      <c r="D120" s="3">
        <v>50000</v>
      </c>
      <c r="E120" s="4">
        <f t="shared" si="0"/>
        <v>49999.73000000004</v>
      </c>
      <c r="F120" s="6"/>
      <c r="G120" s="6"/>
      <c r="H120" s="2"/>
    </row>
    <row r="121" spans="1:8">
      <c r="A121" s="7">
        <v>46181</v>
      </c>
      <c r="B121" s="2" t="s">
        <v>10</v>
      </c>
      <c r="C121" s="3">
        <v>50000</v>
      </c>
      <c r="D121" s="3"/>
      <c r="E121" s="4">
        <f t="shared" si="0"/>
        <v>-0.26999999996041879</v>
      </c>
      <c r="F121" s="6"/>
      <c r="G121" s="6"/>
      <c r="H121" s="2"/>
    </row>
    <row r="122" spans="1:8">
      <c r="A122" s="7">
        <v>46182</v>
      </c>
      <c r="B122" s="2" t="s">
        <v>9</v>
      </c>
      <c r="C122" s="3"/>
      <c r="D122" s="3">
        <v>250000</v>
      </c>
      <c r="E122" s="4">
        <f t="shared" si="0"/>
        <v>249999.73000000004</v>
      </c>
      <c r="F122" s="6"/>
      <c r="G122" s="6"/>
      <c r="H122" s="2"/>
    </row>
    <row r="123" spans="1:8">
      <c r="A123" s="7">
        <v>46182</v>
      </c>
      <c r="B123" s="2" t="s">
        <v>57</v>
      </c>
      <c r="C123" s="3"/>
      <c r="D123" s="3">
        <v>400000</v>
      </c>
      <c r="E123" s="4">
        <f t="shared" si="0"/>
        <v>649999.73</v>
      </c>
      <c r="F123" s="6"/>
      <c r="G123" s="6"/>
      <c r="H123" s="2"/>
    </row>
    <row r="124" spans="1:8">
      <c r="A124" s="7">
        <v>46182</v>
      </c>
      <c r="B124" s="2" t="s">
        <v>10</v>
      </c>
      <c r="C124" s="3">
        <v>26783.03</v>
      </c>
      <c r="D124" s="3"/>
      <c r="E124" s="4">
        <f t="shared" si="0"/>
        <v>623216.69999999995</v>
      </c>
      <c r="F124" s="6"/>
      <c r="G124" s="6"/>
      <c r="H124" s="2"/>
    </row>
    <row r="125" spans="1:8">
      <c r="A125" s="7">
        <v>46183</v>
      </c>
      <c r="B125" s="2" t="s">
        <v>76</v>
      </c>
      <c r="C125" s="3">
        <v>397014.32</v>
      </c>
      <c r="D125" s="3"/>
      <c r="E125" s="4">
        <f t="shared" si="0"/>
        <v>226202.37999999995</v>
      </c>
      <c r="F125" s="6">
        <f t="shared" ref="F125:F126" si="1">C125/1460</f>
        <v>271.92761643835615</v>
      </c>
      <c r="G125" s="6"/>
      <c r="H125" s="2"/>
    </row>
    <row r="126" spans="1:8">
      <c r="A126" s="7">
        <v>46183</v>
      </c>
      <c r="B126" s="2" t="s">
        <v>77</v>
      </c>
      <c r="C126" s="3">
        <v>198315.18</v>
      </c>
      <c r="D126" s="3"/>
      <c r="E126" s="4">
        <f t="shared" si="0"/>
        <v>27887.199999999953</v>
      </c>
      <c r="F126" s="6">
        <f t="shared" si="1"/>
        <v>135.83231506849316</v>
      </c>
      <c r="G126" s="6"/>
      <c r="H126" s="2"/>
    </row>
    <row r="127" spans="1:8">
      <c r="A127" s="7">
        <v>46185</v>
      </c>
      <c r="B127" s="2" t="s">
        <v>9</v>
      </c>
      <c r="C127" s="3"/>
      <c r="D127" s="3">
        <v>680000</v>
      </c>
      <c r="E127" s="4">
        <f t="shared" si="0"/>
        <v>707887.2</v>
      </c>
      <c r="F127" s="6"/>
      <c r="G127" s="6"/>
      <c r="H127" s="2"/>
    </row>
    <row r="128" spans="1:8">
      <c r="A128" s="7">
        <v>46185</v>
      </c>
      <c r="B128" s="2" t="s">
        <v>78</v>
      </c>
      <c r="C128" s="3">
        <v>498863.9</v>
      </c>
      <c r="D128" s="3"/>
      <c r="E128" s="4">
        <f t="shared" si="0"/>
        <v>209023.29999999993</v>
      </c>
      <c r="F128" s="6">
        <f t="shared" ref="F128:F129" si="2">C128/1455</f>
        <v>342.86178694158076</v>
      </c>
      <c r="G128" s="6"/>
      <c r="H128" s="2"/>
    </row>
    <row r="129" spans="1:8">
      <c r="A129" s="7">
        <v>46185</v>
      </c>
      <c r="B129" s="2" t="s">
        <v>79</v>
      </c>
      <c r="C129" s="3">
        <v>199718.22</v>
      </c>
      <c r="D129" s="3"/>
      <c r="E129" s="4">
        <f t="shared" si="0"/>
        <v>9305.079999999929</v>
      </c>
      <c r="F129" s="6">
        <f t="shared" si="2"/>
        <v>137.26338144329898</v>
      </c>
      <c r="G129" s="6"/>
      <c r="H129" s="2"/>
    </row>
    <row r="130" spans="1:8">
      <c r="A130" s="7">
        <v>46185</v>
      </c>
      <c r="B130" s="2" t="s">
        <v>47</v>
      </c>
      <c r="C130" s="3"/>
      <c r="D130" s="3">
        <v>700000</v>
      </c>
      <c r="E130" s="4">
        <f t="shared" si="0"/>
        <v>709305.08</v>
      </c>
      <c r="F130" s="6"/>
      <c r="G130" s="6"/>
      <c r="H130" s="2"/>
    </row>
    <row r="131" spans="1:8">
      <c r="A131" s="7">
        <v>46185</v>
      </c>
      <c r="B131" s="2" t="s">
        <v>80</v>
      </c>
      <c r="C131" s="3">
        <v>445922.69</v>
      </c>
      <c r="D131" s="3"/>
      <c r="E131" s="4">
        <f t="shared" si="0"/>
        <v>263382.38999999996</v>
      </c>
      <c r="F131" s="6">
        <f t="shared" ref="F131:F132" si="3">C131/1455</f>
        <v>306.47607560137459</v>
      </c>
      <c r="G131" s="6"/>
      <c r="H131" s="2"/>
    </row>
    <row r="132" spans="1:8">
      <c r="A132" s="7">
        <v>46185</v>
      </c>
      <c r="B132" s="2" t="s">
        <v>81</v>
      </c>
      <c r="C132" s="3">
        <v>249871.05</v>
      </c>
      <c r="D132" s="3"/>
      <c r="E132" s="4">
        <f t="shared" si="0"/>
        <v>13511.339999999967</v>
      </c>
      <c r="F132" s="6">
        <f t="shared" si="3"/>
        <v>171.73268041237114</v>
      </c>
      <c r="G132" s="6"/>
      <c r="H132" s="2"/>
    </row>
    <row r="133" spans="1:8">
      <c r="A133" s="7">
        <v>46189</v>
      </c>
      <c r="B133" s="2" t="s">
        <v>82</v>
      </c>
      <c r="C133" s="3"/>
      <c r="D133" s="3">
        <v>1480000</v>
      </c>
      <c r="E133" s="4">
        <f t="shared" si="0"/>
        <v>1493511.3399999999</v>
      </c>
      <c r="F133" s="6"/>
      <c r="G133" s="6"/>
      <c r="H133" s="2" t="s">
        <v>83</v>
      </c>
    </row>
    <row r="134" spans="1:8">
      <c r="A134" s="7">
        <v>46189</v>
      </c>
      <c r="B134" s="2" t="s">
        <v>84</v>
      </c>
      <c r="C134" s="3">
        <v>198798.16</v>
      </c>
      <c r="D134" s="3"/>
      <c r="E134" s="4">
        <f t="shared" si="0"/>
        <v>1294713.18</v>
      </c>
      <c r="F134" s="6">
        <f t="shared" ref="F134:F139" si="4">C134/1450</f>
        <v>137.10217931034484</v>
      </c>
      <c r="G134" s="6"/>
      <c r="H134" s="2"/>
    </row>
    <row r="135" spans="1:8">
      <c r="A135" s="7">
        <v>46189</v>
      </c>
      <c r="B135" s="2" t="s">
        <v>85</v>
      </c>
      <c r="C135" s="3">
        <v>99086.55</v>
      </c>
      <c r="D135" s="3"/>
      <c r="E135" s="4">
        <f t="shared" si="0"/>
        <v>1195626.6299999999</v>
      </c>
      <c r="F135" s="6">
        <f t="shared" si="4"/>
        <v>68.335551724137929</v>
      </c>
      <c r="G135" s="6"/>
      <c r="H135" s="2"/>
    </row>
    <row r="136" spans="1:8">
      <c r="A136" s="7">
        <v>46189</v>
      </c>
      <c r="B136" s="2" t="s">
        <v>86</v>
      </c>
      <c r="C136" s="3">
        <v>148693.22</v>
      </c>
      <c r="D136" s="3"/>
      <c r="E136" s="4">
        <f t="shared" si="0"/>
        <v>1046933.4099999999</v>
      </c>
      <c r="F136" s="6">
        <f t="shared" si="4"/>
        <v>102.54704827586207</v>
      </c>
      <c r="G136" s="6"/>
      <c r="H136" s="2"/>
    </row>
    <row r="137" spans="1:8">
      <c r="A137" s="7">
        <v>46189</v>
      </c>
      <c r="B137" s="2" t="s">
        <v>87</v>
      </c>
      <c r="C137" s="3">
        <v>199925.2</v>
      </c>
      <c r="D137" s="3"/>
      <c r="E137" s="4">
        <f t="shared" si="0"/>
        <v>847008.21</v>
      </c>
      <c r="F137" s="6">
        <f t="shared" si="4"/>
        <v>137.87944827586207</v>
      </c>
      <c r="G137" s="6"/>
      <c r="H137" s="2"/>
    </row>
    <row r="138" spans="1:8">
      <c r="A138" s="7">
        <v>46189</v>
      </c>
      <c r="B138" s="2" t="s">
        <v>88</v>
      </c>
      <c r="C138" s="3">
        <v>396392.8</v>
      </c>
      <c r="D138" s="3"/>
      <c r="E138" s="4">
        <f t="shared" si="0"/>
        <v>450615.41</v>
      </c>
      <c r="F138" s="6">
        <f t="shared" si="4"/>
        <v>273.37434482758619</v>
      </c>
      <c r="G138" s="6"/>
      <c r="H138" s="2"/>
    </row>
    <row r="139" spans="1:8">
      <c r="A139" s="7">
        <v>46189</v>
      </c>
      <c r="B139" s="2" t="s">
        <v>89</v>
      </c>
      <c r="C139" s="3">
        <v>199811.7</v>
      </c>
      <c r="D139" s="3"/>
      <c r="E139" s="4">
        <f t="shared" si="0"/>
        <v>250803.70999999996</v>
      </c>
      <c r="F139" s="6">
        <f t="shared" si="4"/>
        <v>137.80117241379313</v>
      </c>
      <c r="G139" s="6"/>
      <c r="H139" s="2"/>
    </row>
    <row r="140" spans="1:8">
      <c r="A140" s="7">
        <v>46189</v>
      </c>
      <c r="B140" s="2" t="s">
        <v>90</v>
      </c>
      <c r="C140" s="3">
        <v>11384.7</v>
      </c>
      <c r="D140" s="3"/>
      <c r="E140" s="4">
        <f t="shared" si="0"/>
        <v>239419.00999999995</v>
      </c>
      <c r="F140" s="6"/>
      <c r="G140" s="6"/>
      <c r="H140" s="2"/>
    </row>
    <row r="141" spans="1:8">
      <c r="A141" s="7">
        <v>46195</v>
      </c>
      <c r="B141" s="2" t="s">
        <v>23</v>
      </c>
      <c r="C141" s="3">
        <v>200000</v>
      </c>
      <c r="D141" s="3"/>
      <c r="E141" s="4">
        <f t="shared" si="0"/>
        <v>39419.009999999951</v>
      </c>
      <c r="F141" s="6"/>
      <c r="G141" s="6"/>
      <c r="H141" s="2"/>
    </row>
    <row r="142" spans="1:8">
      <c r="A142" s="7">
        <v>46195</v>
      </c>
      <c r="B142" s="2" t="s">
        <v>91</v>
      </c>
      <c r="C142" s="3"/>
      <c r="D142" s="3">
        <v>1569700</v>
      </c>
      <c r="E142" s="4">
        <f t="shared" si="0"/>
        <v>1609119.01</v>
      </c>
      <c r="F142" s="6"/>
      <c r="G142" s="6"/>
      <c r="H142" s="2"/>
    </row>
    <row r="143" spans="1:8">
      <c r="A143" s="7">
        <v>46195</v>
      </c>
      <c r="B143" s="2" t="s">
        <v>92</v>
      </c>
      <c r="C143" s="3">
        <v>1042963.45</v>
      </c>
      <c r="D143" s="3"/>
      <c r="E143" s="4">
        <f t="shared" si="0"/>
        <v>566155.56000000006</v>
      </c>
      <c r="F143" s="6"/>
      <c r="G143" s="6"/>
      <c r="H143" s="2"/>
    </row>
    <row r="144" spans="1:8">
      <c r="A144" s="7">
        <v>46195</v>
      </c>
      <c r="B144" s="2" t="s">
        <v>93</v>
      </c>
      <c r="C144" s="3">
        <v>197742.45</v>
      </c>
      <c r="D144" s="3"/>
      <c r="E144" s="4">
        <f t="shared" si="0"/>
        <v>368413.11000000004</v>
      </c>
      <c r="F144" s="6">
        <f t="shared" ref="F144:F145" si="5">C144/1480</f>
        <v>133.60976351351351</v>
      </c>
      <c r="G144" s="6"/>
      <c r="H144" s="2"/>
    </row>
    <row r="145" spans="1:8">
      <c r="A145" s="7">
        <v>46195</v>
      </c>
      <c r="B145" s="2" t="s">
        <v>94</v>
      </c>
      <c r="C145" s="3">
        <v>348312.31</v>
      </c>
      <c r="D145" s="3"/>
      <c r="E145" s="4">
        <f t="shared" si="0"/>
        <v>20100.800000000047</v>
      </c>
      <c r="F145" s="6">
        <f t="shared" si="5"/>
        <v>235.3461554054054</v>
      </c>
      <c r="G145" s="6"/>
      <c r="H145" s="2"/>
    </row>
    <row r="146" spans="1:8">
      <c r="A146" s="7">
        <v>46197</v>
      </c>
      <c r="B146" s="2" t="s">
        <v>23</v>
      </c>
      <c r="C146" s="3">
        <v>19000</v>
      </c>
      <c r="D146" s="3"/>
      <c r="E146" s="4">
        <f t="shared" si="0"/>
        <v>1100.8000000000466</v>
      </c>
      <c r="F146" s="6"/>
      <c r="G146" s="6"/>
      <c r="H146" s="2"/>
    </row>
    <row r="147" spans="1:8">
      <c r="A147" s="7"/>
      <c r="B147" s="2"/>
      <c r="C147" s="3"/>
      <c r="D147" s="3"/>
      <c r="E147" s="4"/>
      <c r="F147" s="6"/>
      <c r="G147" s="6"/>
      <c r="H147" s="2"/>
    </row>
    <row r="148" spans="1:8">
      <c r="A148" s="7"/>
      <c r="B148" s="2"/>
      <c r="C148" s="3"/>
      <c r="D148" s="3"/>
      <c r="E148" s="4"/>
      <c r="F148" s="6"/>
      <c r="G148" s="6"/>
      <c r="H148" s="2"/>
    </row>
    <row r="149" spans="1:8">
      <c r="A149" s="7"/>
      <c r="B149" s="2"/>
      <c r="C149" s="3"/>
      <c r="D149" s="3"/>
      <c r="E149" s="4"/>
      <c r="F149" s="6"/>
      <c r="G149" s="6"/>
      <c r="H149" s="2"/>
    </row>
    <row r="150" spans="1:8">
      <c r="A150" s="7"/>
      <c r="B150" s="2"/>
      <c r="C150" s="3"/>
      <c r="D150" s="3"/>
      <c r="E150" s="4"/>
      <c r="F150" s="6"/>
      <c r="G150" s="6"/>
      <c r="H150" s="2"/>
    </row>
    <row r="151" spans="1:8">
      <c r="A151" s="7"/>
      <c r="B151" s="2"/>
      <c r="C151" s="3"/>
      <c r="D151" s="3"/>
      <c r="E151" s="4"/>
      <c r="F151" s="6"/>
      <c r="G151" s="6"/>
      <c r="H151" s="2"/>
    </row>
    <row r="152" spans="1:8">
      <c r="A152" s="7"/>
      <c r="B152" s="2"/>
      <c r="C152" s="3"/>
      <c r="D152" s="3"/>
      <c r="E152" s="4"/>
      <c r="F152" s="6">
        <f>SUM(F1:F151)</f>
        <v>5582.1862234847331</v>
      </c>
      <c r="G152" s="6">
        <f>SUM(G8:G146)</f>
        <v>0</v>
      </c>
      <c r="H152" s="2"/>
    </row>
    <row r="153" spans="1:8">
      <c r="A153" s="7"/>
      <c r="B153" s="2"/>
      <c r="C153" s="3"/>
      <c r="D153" s="3"/>
      <c r="E153" s="4"/>
      <c r="F153" s="6"/>
      <c r="G153" s="6"/>
      <c r="H153" s="2"/>
    </row>
    <row r="154" spans="1:8">
      <c r="A154" s="7"/>
      <c r="B154" s="2"/>
      <c r="C154" s="3"/>
      <c r="D154" s="3"/>
      <c r="E154" s="4"/>
      <c r="F154" s="6"/>
      <c r="G154" s="6"/>
      <c r="H154" s="2"/>
    </row>
    <row r="155" spans="1:8">
      <c r="A155" s="7"/>
      <c r="B155" s="2"/>
      <c r="C155" s="3"/>
      <c r="D155" s="3"/>
      <c r="E155" s="4"/>
      <c r="F155" s="6"/>
      <c r="G155" s="6"/>
      <c r="H155" s="2"/>
    </row>
    <row r="156" spans="1:8">
      <c r="A156" s="7"/>
      <c r="B156" s="2"/>
      <c r="C156" s="3"/>
      <c r="D156" s="3"/>
      <c r="E156" s="4"/>
      <c r="F156" s="6"/>
      <c r="G156" s="6"/>
      <c r="H15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6"/>
  <sheetViews>
    <sheetView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E105" sqref="E105"/>
    </sheetView>
  </sheetViews>
  <sheetFormatPr defaultColWidth="17.28515625" defaultRowHeight="15" customHeight="1"/>
  <cols>
    <col min="1" max="1" width="12.85546875" customWidth="1"/>
    <col min="2" max="2" width="46.42578125" customWidth="1"/>
    <col min="3" max="3" width="15.5703125" customWidth="1"/>
    <col min="4" max="4" width="16.28515625" customWidth="1"/>
    <col min="5" max="5" width="17.7109375" customWidth="1"/>
    <col min="6" max="6" width="13.140625" customWidth="1"/>
    <col min="7" max="7" width="10.7109375" customWidth="1"/>
    <col min="8" max="8" width="13.42578125" customWidth="1"/>
    <col min="9" max="9" width="16.140625" customWidth="1"/>
    <col min="10" max="25" width="10.7109375" customWidth="1"/>
  </cols>
  <sheetData>
    <row r="1" spans="1:25" ht="23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6" t="s">
        <v>95</v>
      </c>
      <c r="G1" s="6" t="s">
        <v>96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>
      <c r="A2" s="9">
        <v>46023</v>
      </c>
      <c r="B2" s="12" t="s">
        <v>97</v>
      </c>
      <c r="C2" s="13">
        <v>180000</v>
      </c>
      <c r="D2" s="5"/>
      <c r="E2" s="5">
        <v>2622531.0299999998</v>
      </c>
      <c r="F2" s="5"/>
      <c r="G2" s="6"/>
    </row>
    <row r="3" spans="1:25">
      <c r="A3" s="9">
        <v>46023</v>
      </c>
      <c r="B3" s="12" t="s">
        <v>98</v>
      </c>
      <c r="C3" s="13">
        <v>180000</v>
      </c>
      <c r="D3" s="5"/>
      <c r="E3" s="6">
        <f t="shared" ref="E3:E105" si="0">E2+D3-C3</f>
        <v>2442531.0299999998</v>
      </c>
      <c r="F3" s="5"/>
      <c r="G3" s="6"/>
    </row>
    <row r="4" spans="1:25">
      <c r="A4" s="9">
        <v>46024</v>
      </c>
      <c r="B4" s="12" t="s">
        <v>99</v>
      </c>
      <c r="C4" s="13"/>
      <c r="D4" s="5">
        <v>1066311.67</v>
      </c>
      <c r="E4" s="6">
        <f t="shared" si="0"/>
        <v>3508842.6999999997</v>
      </c>
      <c r="F4" s="5"/>
      <c r="G4" s="6"/>
    </row>
    <row r="5" spans="1:25">
      <c r="A5" s="9">
        <v>46028</v>
      </c>
      <c r="B5" s="12" t="s">
        <v>100</v>
      </c>
      <c r="C5" s="13"/>
      <c r="D5" s="5">
        <v>1200000</v>
      </c>
      <c r="E5" s="6">
        <f t="shared" si="0"/>
        <v>4708842.6999999993</v>
      </c>
      <c r="F5" s="5"/>
      <c r="G5" s="6"/>
    </row>
    <row r="6" spans="1:25">
      <c r="A6" s="9">
        <v>46029</v>
      </c>
      <c r="B6" s="12" t="s">
        <v>101</v>
      </c>
      <c r="C6" s="13">
        <v>4109502.29</v>
      </c>
      <c r="D6" s="5"/>
      <c r="E6" s="6">
        <f t="shared" si="0"/>
        <v>599340.40999999922</v>
      </c>
      <c r="F6" s="5"/>
      <c r="G6" s="6"/>
    </row>
    <row r="7" spans="1:25">
      <c r="A7" s="9">
        <v>46030</v>
      </c>
      <c r="B7" s="12" t="s">
        <v>23</v>
      </c>
      <c r="C7" s="13">
        <v>400000</v>
      </c>
      <c r="D7" s="5"/>
      <c r="E7" s="6">
        <f t="shared" si="0"/>
        <v>199340.40999999922</v>
      </c>
      <c r="F7" s="5"/>
      <c r="G7" s="6"/>
    </row>
    <row r="8" spans="1:25">
      <c r="A8" s="9">
        <v>46030</v>
      </c>
      <c r="B8" s="2" t="s">
        <v>102</v>
      </c>
      <c r="C8" s="5">
        <v>110000</v>
      </c>
      <c r="D8" s="5"/>
      <c r="E8" s="6">
        <f t="shared" si="0"/>
        <v>89340.409999999218</v>
      </c>
      <c r="F8" s="5"/>
      <c r="G8" s="6"/>
    </row>
    <row r="9" spans="1:25">
      <c r="A9" s="9">
        <v>46032</v>
      </c>
      <c r="B9" s="12" t="s">
        <v>103</v>
      </c>
      <c r="C9" s="13">
        <v>17645.54</v>
      </c>
      <c r="D9" s="5"/>
      <c r="E9" s="6">
        <f t="shared" si="0"/>
        <v>71694.86999999921</v>
      </c>
      <c r="F9" s="5"/>
      <c r="G9" s="6"/>
    </row>
    <row r="10" spans="1:25">
      <c r="A10" s="9">
        <v>46032</v>
      </c>
      <c r="B10" s="12" t="s">
        <v>104</v>
      </c>
      <c r="C10" s="13">
        <v>24409.86</v>
      </c>
      <c r="D10" s="5"/>
      <c r="E10" s="6">
        <f t="shared" si="0"/>
        <v>47285.009999999209</v>
      </c>
      <c r="F10" s="5"/>
      <c r="G10" s="6"/>
    </row>
    <row r="11" spans="1:25">
      <c r="A11" s="9">
        <v>46032</v>
      </c>
      <c r="B11" s="12" t="s">
        <v>105</v>
      </c>
      <c r="C11" s="13">
        <v>42496.72</v>
      </c>
      <c r="D11" s="5"/>
      <c r="E11" s="6">
        <f t="shared" si="0"/>
        <v>4788.2899999992078</v>
      </c>
      <c r="F11" s="5"/>
      <c r="G11" s="6"/>
    </row>
    <row r="12" spans="1:25">
      <c r="A12" s="9">
        <v>46035</v>
      </c>
      <c r="B12" s="2" t="s">
        <v>106</v>
      </c>
      <c r="C12" s="13"/>
      <c r="D12" s="5">
        <v>297000</v>
      </c>
      <c r="E12" s="6">
        <f t="shared" si="0"/>
        <v>301788.28999999922</v>
      </c>
      <c r="F12" s="5"/>
      <c r="G12" s="6"/>
    </row>
    <row r="13" spans="1:25">
      <c r="A13" s="9">
        <v>46036</v>
      </c>
      <c r="B13" s="2" t="s">
        <v>107</v>
      </c>
      <c r="C13" s="13"/>
      <c r="D13" s="5">
        <v>312000</v>
      </c>
      <c r="E13" s="6">
        <f t="shared" si="0"/>
        <v>613788.28999999922</v>
      </c>
      <c r="F13" s="5"/>
      <c r="G13" s="6"/>
    </row>
    <row r="14" spans="1:25">
      <c r="A14" s="9">
        <v>46037</v>
      </c>
      <c r="B14" s="2" t="s">
        <v>102</v>
      </c>
      <c r="C14" s="13">
        <v>500000</v>
      </c>
      <c r="D14" s="5"/>
      <c r="E14" s="6">
        <f t="shared" si="0"/>
        <v>113788.28999999922</v>
      </c>
      <c r="F14" s="5"/>
      <c r="G14" s="6"/>
    </row>
    <row r="15" spans="1:25">
      <c r="A15" s="9">
        <v>46037</v>
      </c>
      <c r="B15" s="2" t="s">
        <v>23</v>
      </c>
      <c r="C15" s="5">
        <v>100000</v>
      </c>
      <c r="D15" s="5"/>
      <c r="E15" s="6">
        <f t="shared" si="0"/>
        <v>13788.289999999222</v>
      </c>
      <c r="F15" s="5"/>
      <c r="G15" s="6"/>
    </row>
    <row r="16" spans="1:25">
      <c r="A16" s="9">
        <v>46043</v>
      </c>
      <c r="B16" s="2" t="s">
        <v>100</v>
      </c>
      <c r="C16" s="13"/>
      <c r="D16" s="5">
        <v>1700000</v>
      </c>
      <c r="E16" s="6">
        <f t="shared" si="0"/>
        <v>1713788.2899999991</v>
      </c>
      <c r="F16" s="5"/>
      <c r="G16" s="6"/>
    </row>
    <row r="17" spans="1:8">
      <c r="A17" s="9">
        <v>46043</v>
      </c>
      <c r="B17" s="2" t="s">
        <v>108</v>
      </c>
      <c r="C17" s="13">
        <v>1673250</v>
      </c>
      <c r="D17" s="5"/>
      <c r="E17" s="6">
        <f t="shared" si="0"/>
        <v>40538.289999999106</v>
      </c>
      <c r="F17" s="5">
        <v>1150</v>
      </c>
      <c r="G17" s="6"/>
    </row>
    <row r="18" spans="1:8">
      <c r="A18" s="9">
        <v>46045</v>
      </c>
      <c r="B18" s="2" t="s">
        <v>109</v>
      </c>
      <c r="C18" s="13"/>
      <c r="D18" s="5">
        <v>1192800</v>
      </c>
      <c r="E18" s="6">
        <f t="shared" si="0"/>
        <v>1233338.2899999991</v>
      </c>
      <c r="F18" s="5"/>
      <c r="G18" s="6"/>
    </row>
    <row r="19" spans="1:8">
      <c r="A19" s="9">
        <v>46048</v>
      </c>
      <c r="B19" s="2" t="s">
        <v>100</v>
      </c>
      <c r="C19" s="13"/>
      <c r="D19" s="5">
        <v>600000</v>
      </c>
      <c r="E19" s="6">
        <f t="shared" si="0"/>
        <v>1833338.2899999991</v>
      </c>
      <c r="F19" s="5"/>
      <c r="G19" s="6"/>
    </row>
    <row r="20" spans="1:8">
      <c r="A20" s="9">
        <v>46048</v>
      </c>
      <c r="B20" s="2" t="s">
        <v>108</v>
      </c>
      <c r="C20" s="13">
        <v>730000</v>
      </c>
      <c r="D20" s="6"/>
      <c r="E20" s="6">
        <f t="shared" si="0"/>
        <v>1103338.2899999991</v>
      </c>
      <c r="F20" s="5">
        <v>500</v>
      </c>
      <c r="G20" s="6"/>
    </row>
    <row r="21" spans="1:8">
      <c r="A21" s="9">
        <v>46052</v>
      </c>
      <c r="B21" s="2" t="s">
        <v>108</v>
      </c>
      <c r="C21" s="13">
        <v>439500</v>
      </c>
      <c r="D21" s="5"/>
      <c r="E21" s="6">
        <f t="shared" si="0"/>
        <v>663838.28999999911</v>
      </c>
      <c r="F21" s="5">
        <v>300</v>
      </c>
      <c r="G21" s="6"/>
    </row>
    <row r="22" spans="1:8">
      <c r="A22" s="9">
        <v>46052</v>
      </c>
      <c r="B22" s="2" t="s">
        <v>110</v>
      </c>
      <c r="C22" s="13"/>
      <c r="D22" s="5">
        <v>1973998.22</v>
      </c>
      <c r="E22" s="6">
        <f t="shared" si="0"/>
        <v>2637836.5099999988</v>
      </c>
      <c r="F22" s="5"/>
      <c r="G22" s="6"/>
    </row>
    <row r="23" spans="1:8">
      <c r="A23" s="9">
        <v>46055</v>
      </c>
      <c r="B23" s="12" t="s">
        <v>111</v>
      </c>
      <c r="C23" s="13"/>
      <c r="D23" s="5">
        <v>16000</v>
      </c>
      <c r="E23" s="6">
        <f t="shared" si="0"/>
        <v>2653836.5099999988</v>
      </c>
      <c r="F23" s="5"/>
      <c r="G23" s="6"/>
    </row>
    <row r="24" spans="1:8">
      <c r="A24" s="9">
        <v>46055</v>
      </c>
      <c r="B24" s="12" t="s">
        <v>99</v>
      </c>
      <c r="C24" s="13"/>
      <c r="D24" s="5">
        <v>1066311.67</v>
      </c>
      <c r="E24" s="6">
        <f t="shared" si="0"/>
        <v>3720148.1799999988</v>
      </c>
      <c r="F24" s="5"/>
      <c r="G24" s="6"/>
      <c r="H24" s="6">
        <f>D24*0.05</f>
        <v>53315.583500000001</v>
      </c>
    </row>
    <row r="25" spans="1:8">
      <c r="A25" s="9">
        <v>46055</v>
      </c>
      <c r="B25" s="2" t="s">
        <v>108</v>
      </c>
      <c r="C25" s="13">
        <v>147000</v>
      </c>
      <c r="D25" s="5"/>
      <c r="E25" s="6">
        <f t="shared" si="0"/>
        <v>3573148.1799999988</v>
      </c>
      <c r="F25" s="5">
        <v>100</v>
      </c>
      <c r="G25" s="6"/>
      <c r="H25" s="2">
        <v>19170</v>
      </c>
    </row>
    <row r="26" spans="1:8">
      <c r="A26" s="9">
        <v>46058</v>
      </c>
      <c r="B26" s="2" t="s">
        <v>11</v>
      </c>
      <c r="C26" s="13"/>
      <c r="D26" s="5">
        <v>1000000</v>
      </c>
      <c r="E26" s="6">
        <f t="shared" si="0"/>
        <v>4573148.1799999988</v>
      </c>
      <c r="F26" s="5"/>
      <c r="G26" s="6"/>
      <c r="H26" s="6">
        <f>SUM(H24:H25)</f>
        <v>72485.583500000008</v>
      </c>
    </row>
    <row r="27" spans="1:8">
      <c r="A27" s="9">
        <v>46058</v>
      </c>
      <c r="B27" s="2" t="s">
        <v>101</v>
      </c>
      <c r="C27" s="13">
        <v>3651434.08</v>
      </c>
      <c r="D27" s="5"/>
      <c r="E27" s="6">
        <f t="shared" si="0"/>
        <v>921714.0999999987</v>
      </c>
      <c r="F27" s="5"/>
      <c r="G27" s="6"/>
    </row>
    <row r="28" spans="1:8">
      <c r="A28" s="9">
        <v>46058</v>
      </c>
      <c r="B28" s="2" t="s">
        <v>102</v>
      </c>
      <c r="C28" s="13">
        <v>900000</v>
      </c>
      <c r="D28" s="5"/>
      <c r="E28" s="6">
        <f t="shared" si="0"/>
        <v>21714.099999998696</v>
      </c>
      <c r="F28" s="5"/>
      <c r="G28" s="6"/>
    </row>
    <row r="29" spans="1:8">
      <c r="A29" s="9">
        <v>46063</v>
      </c>
      <c r="B29" s="12" t="s">
        <v>112</v>
      </c>
      <c r="C29" s="5">
        <v>17645.54</v>
      </c>
      <c r="D29" s="5"/>
      <c r="E29" s="6">
        <f t="shared" si="0"/>
        <v>4068.5599999986953</v>
      </c>
      <c r="F29" s="5"/>
      <c r="G29" s="6"/>
    </row>
    <row r="30" spans="1:8">
      <c r="A30" s="9">
        <v>46071</v>
      </c>
      <c r="B30" s="2" t="s">
        <v>11</v>
      </c>
      <c r="C30" s="5"/>
      <c r="D30" s="5">
        <v>100000</v>
      </c>
      <c r="E30" s="6">
        <f t="shared" si="0"/>
        <v>104068.55999999869</v>
      </c>
      <c r="F30" s="5"/>
      <c r="G30" s="6"/>
    </row>
    <row r="31" spans="1:8">
      <c r="A31" s="9">
        <v>46071</v>
      </c>
      <c r="B31" s="2" t="s">
        <v>109</v>
      </c>
      <c r="C31" s="5"/>
      <c r="D31" s="5">
        <v>1341900</v>
      </c>
      <c r="E31" s="6">
        <f t="shared" si="0"/>
        <v>1445968.5599999987</v>
      </c>
      <c r="F31" s="5"/>
      <c r="G31" s="6"/>
    </row>
    <row r="32" spans="1:8">
      <c r="A32" s="9">
        <v>46072</v>
      </c>
      <c r="B32" s="2" t="s">
        <v>113</v>
      </c>
      <c r="C32" s="5">
        <v>217421</v>
      </c>
      <c r="D32" s="5"/>
      <c r="E32" s="6">
        <f t="shared" si="0"/>
        <v>1228547.5599999987</v>
      </c>
      <c r="F32" s="5"/>
      <c r="G32" s="6"/>
    </row>
    <row r="33" spans="1:7">
      <c r="A33" s="9">
        <v>46072</v>
      </c>
      <c r="B33" s="2" t="s">
        <v>42</v>
      </c>
      <c r="C33" s="5">
        <v>388581.95</v>
      </c>
      <c r="D33" s="5"/>
      <c r="E33" s="6">
        <f t="shared" si="0"/>
        <v>839965.60999999871</v>
      </c>
      <c r="F33" s="5"/>
      <c r="G33" s="6"/>
    </row>
    <row r="34" spans="1:7">
      <c r="A34" s="9">
        <v>46072</v>
      </c>
      <c r="B34" s="2" t="s">
        <v>114</v>
      </c>
      <c r="C34" s="5">
        <v>146751.79</v>
      </c>
      <c r="D34" s="5"/>
      <c r="E34" s="6">
        <f t="shared" si="0"/>
        <v>693213.81999999867</v>
      </c>
      <c r="F34" s="5"/>
      <c r="G34" s="6"/>
    </row>
    <row r="35" spans="1:7">
      <c r="A35" s="9">
        <v>46072</v>
      </c>
      <c r="B35" s="2" t="s">
        <v>11</v>
      </c>
      <c r="C35" s="5"/>
      <c r="D35" s="5">
        <v>30000</v>
      </c>
      <c r="E35" s="6">
        <f t="shared" si="0"/>
        <v>723213.81999999867</v>
      </c>
      <c r="F35" s="5"/>
      <c r="G35" s="6"/>
    </row>
    <row r="36" spans="1:7">
      <c r="A36" s="9">
        <v>46072</v>
      </c>
      <c r="B36" s="2" t="s">
        <v>115</v>
      </c>
      <c r="C36" s="5">
        <v>718613</v>
      </c>
      <c r="D36" s="5"/>
      <c r="E36" s="6">
        <f t="shared" si="0"/>
        <v>4600.8199999986682</v>
      </c>
      <c r="F36" s="5"/>
      <c r="G36" s="6"/>
    </row>
    <row r="37" spans="1:7">
      <c r="A37" s="9">
        <v>46076</v>
      </c>
      <c r="B37" s="12" t="s">
        <v>11</v>
      </c>
      <c r="C37" s="13"/>
      <c r="D37" s="5">
        <v>70000</v>
      </c>
      <c r="E37" s="6">
        <f t="shared" si="0"/>
        <v>74600.819999998668</v>
      </c>
      <c r="F37" s="5"/>
      <c r="G37" s="6"/>
    </row>
    <row r="38" spans="1:7">
      <c r="A38" s="9">
        <v>46078</v>
      </c>
      <c r="B38" s="12" t="s">
        <v>116</v>
      </c>
      <c r="C38" s="13">
        <v>24859.82</v>
      </c>
      <c r="D38" s="5"/>
      <c r="E38" s="6">
        <f t="shared" si="0"/>
        <v>49740.999999998668</v>
      </c>
      <c r="F38" s="5"/>
      <c r="G38" s="6"/>
    </row>
    <row r="39" spans="1:7">
      <c r="A39" s="9">
        <v>46078</v>
      </c>
      <c r="B39" s="12" t="s">
        <v>117</v>
      </c>
      <c r="C39" s="13">
        <v>43280.08</v>
      </c>
      <c r="D39" s="5"/>
      <c r="E39" s="6">
        <f t="shared" si="0"/>
        <v>6460.9199999986668</v>
      </c>
      <c r="F39" s="5"/>
      <c r="G39" s="6"/>
    </row>
    <row r="40" spans="1:7">
      <c r="A40" s="9">
        <v>46078</v>
      </c>
      <c r="B40" s="2" t="s">
        <v>118</v>
      </c>
      <c r="C40" s="5"/>
      <c r="D40" s="5">
        <v>72485.58</v>
      </c>
      <c r="E40" s="6">
        <f t="shared" si="0"/>
        <v>78946.499999998661</v>
      </c>
      <c r="F40" s="5"/>
      <c r="G40" s="6"/>
    </row>
    <row r="41" spans="1:7">
      <c r="A41" s="9">
        <v>46080</v>
      </c>
      <c r="B41" s="2" t="s">
        <v>119</v>
      </c>
      <c r="C41" s="5"/>
      <c r="D41" s="5">
        <v>977810.51</v>
      </c>
      <c r="E41" s="6">
        <f t="shared" si="0"/>
        <v>1056757.0099999986</v>
      </c>
      <c r="F41" s="5"/>
      <c r="G41" s="6"/>
    </row>
    <row r="42" spans="1:7">
      <c r="A42" s="9">
        <v>46080</v>
      </c>
      <c r="B42" s="2" t="s">
        <v>120</v>
      </c>
      <c r="C42" s="5"/>
      <c r="D42" s="5">
        <v>60000</v>
      </c>
      <c r="E42" s="6">
        <f t="shared" si="0"/>
        <v>1116757.0099999986</v>
      </c>
      <c r="F42" s="5"/>
      <c r="G42" s="6"/>
    </row>
    <row r="43" spans="1:7">
      <c r="A43" s="9">
        <v>46080</v>
      </c>
      <c r="B43" s="2" t="s">
        <v>110</v>
      </c>
      <c r="C43" s="5"/>
      <c r="D43" s="5">
        <v>3354773.7</v>
      </c>
      <c r="E43" s="6">
        <f t="shared" si="0"/>
        <v>4471530.709999999</v>
      </c>
      <c r="F43" s="5"/>
      <c r="G43" s="6"/>
    </row>
    <row r="44" spans="1:7">
      <c r="A44" s="9">
        <v>46082</v>
      </c>
      <c r="B44" s="2" t="s">
        <v>23</v>
      </c>
      <c r="C44" s="5">
        <v>100000</v>
      </c>
      <c r="D44" s="5"/>
      <c r="E44" s="6">
        <f t="shared" si="0"/>
        <v>4371530.709999999</v>
      </c>
      <c r="F44" s="5"/>
      <c r="G44" s="6"/>
    </row>
    <row r="45" spans="1:7">
      <c r="A45" s="9">
        <v>46082</v>
      </c>
      <c r="B45" s="2" t="s">
        <v>121</v>
      </c>
      <c r="C45" s="5">
        <v>351228.95</v>
      </c>
      <c r="D45" s="5"/>
      <c r="E45" s="6">
        <f t="shared" si="0"/>
        <v>4020301.7599999988</v>
      </c>
      <c r="F45" s="5"/>
      <c r="G45" s="6"/>
    </row>
    <row r="46" spans="1:7">
      <c r="A46" s="9">
        <v>46083</v>
      </c>
      <c r="B46" s="2" t="s">
        <v>102</v>
      </c>
      <c r="C46" s="5">
        <v>1200000</v>
      </c>
      <c r="D46" s="5"/>
      <c r="E46" s="6">
        <f t="shared" si="0"/>
        <v>2820301.7599999988</v>
      </c>
      <c r="F46" s="5"/>
      <c r="G46" s="6"/>
    </row>
    <row r="47" spans="1:7">
      <c r="A47" s="9">
        <v>46083</v>
      </c>
      <c r="B47" s="2" t="s">
        <v>99</v>
      </c>
      <c r="C47" s="5"/>
      <c r="D47" s="5">
        <v>1120000</v>
      </c>
      <c r="E47" s="6">
        <f t="shared" si="0"/>
        <v>3940301.7599999988</v>
      </c>
      <c r="F47" s="5" t="s">
        <v>122</v>
      </c>
      <c r="G47" s="6"/>
    </row>
    <row r="48" spans="1:7">
      <c r="A48" s="9">
        <v>46086</v>
      </c>
      <c r="B48" s="2" t="s">
        <v>101</v>
      </c>
      <c r="C48" s="5">
        <v>3006014.75</v>
      </c>
      <c r="D48" s="5"/>
      <c r="E48" s="6">
        <f t="shared" si="0"/>
        <v>934287.00999999885</v>
      </c>
      <c r="F48" s="5"/>
      <c r="G48" s="6"/>
    </row>
    <row r="49" spans="1:7">
      <c r="A49" s="9">
        <v>46087</v>
      </c>
      <c r="B49" s="2" t="s">
        <v>123</v>
      </c>
      <c r="C49" s="5"/>
      <c r="D49" s="5">
        <v>10800</v>
      </c>
      <c r="E49" s="6">
        <f t="shared" si="0"/>
        <v>945087.00999999885</v>
      </c>
      <c r="F49" s="5"/>
      <c r="G49" s="6"/>
    </row>
    <row r="50" spans="1:7">
      <c r="A50" s="9">
        <v>46090</v>
      </c>
      <c r="B50" s="2" t="s">
        <v>11</v>
      </c>
      <c r="C50" s="5"/>
      <c r="D50" s="5">
        <v>5000</v>
      </c>
      <c r="E50" s="6">
        <f t="shared" si="0"/>
        <v>950087.00999999885</v>
      </c>
      <c r="F50" s="5"/>
      <c r="G50" s="6"/>
    </row>
    <row r="51" spans="1:7">
      <c r="A51" s="9">
        <v>46091</v>
      </c>
      <c r="B51" s="2" t="s">
        <v>115</v>
      </c>
      <c r="C51" s="5">
        <v>862593</v>
      </c>
      <c r="D51" s="5"/>
      <c r="E51" s="6">
        <f t="shared" si="0"/>
        <v>87494.009999998845</v>
      </c>
      <c r="F51" s="5"/>
      <c r="G51" s="6"/>
    </row>
    <row r="52" spans="1:7">
      <c r="A52" s="9">
        <v>46091</v>
      </c>
      <c r="B52" s="12" t="s">
        <v>124</v>
      </c>
      <c r="C52" s="13">
        <v>17645.54</v>
      </c>
      <c r="D52" s="5"/>
      <c r="E52" s="6">
        <f t="shared" si="0"/>
        <v>69848.469999998837</v>
      </c>
      <c r="F52" s="5"/>
      <c r="G52" s="6"/>
    </row>
    <row r="53" spans="1:7">
      <c r="A53" s="9">
        <v>46091</v>
      </c>
      <c r="B53" s="12" t="s">
        <v>125</v>
      </c>
      <c r="C53" s="13">
        <v>24409.86</v>
      </c>
      <c r="D53" s="5"/>
      <c r="E53" s="6">
        <f t="shared" si="0"/>
        <v>45438.609999998836</v>
      </c>
      <c r="F53" s="5"/>
      <c r="G53" s="6"/>
    </row>
    <row r="54" spans="1:7">
      <c r="A54" s="9">
        <v>46091</v>
      </c>
      <c r="B54" s="12" t="s">
        <v>126</v>
      </c>
      <c r="C54" s="13">
        <v>42496.72</v>
      </c>
      <c r="D54" s="5"/>
      <c r="E54" s="6">
        <f t="shared" si="0"/>
        <v>2941.8899999988353</v>
      </c>
      <c r="F54" s="5"/>
      <c r="G54" s="6"/>
    </row>
    <row r="55" spans="1:7">
      <c r="A55" s="9">
        <v>46097</v>
      </c>
      <c r="B55" s="2" t="s">
        <v>109</v>
      </c>
      <c r="C55" s="5"/>
      <c r="D55" s="5">
        <v>1305000</v>
      </c>
      <c r="E55" s="6">
        <f t="shared" si="0"/>
        <v>1307941.8899999987</v>
      </c>
      <c r="F55" s="5"/>
      <c r="G55" s="6"/>
    </row>
    <row r="56" spans="1:7">
      <c r="A56" s="9">
        <v>46098</v>
      </c>
      <c r="B56" s="2" t="s">
        <v>100</v>
      </c>
      <c r="C56" s="5"/>
      <c r="D56" s="5">
        <v>1220000</v>
      </c>
      <c r="E56" s="6">
        <f t="shared" si="0"/>
        <v>2527941.8899999987</v>
      </c>
      <c r="F56" s="5"/>
      <c r="G56" s="6"/>
    </row>
    <row r="57" spans="1:7">
      <c r="A57" s="9">
        <v>46098</v>
      </c>
      <c r="B57" s="2" t="s">
        <v>127</v>
      </c>
      <c r="C57" s="5">
        <v>433195.56</v>
      </c>
      <c r="D57" s="5"/>
      <c r="E57" s="6">
        <f t="shared" si="0"/>
        <v>2094746.3299999987</v>
      </c>
      <c r="F57" s="5"/>
      <c r="G57" s="6"/>
    </row>
    <row r="58" spans="1:7">
      <c r="A58" s="9">
        <v>46098</v>
      </c>
      <c r="B58" s="2" t="s">
        <v>127</v>
      </c>
      <c r="C58" s="5">
        <v>1949380.02</v>
      </c>
      <c r="D58" s="5"/>
      <c r="E58" s="6">
        <f t="shared" si="0"/>
        <v>145366.30999999866</v>
      </c>
      <c r="F58" s="5"/>
      <c r="G58" s="6"/>
    </row>
    <row r="59" spans="1:7">
      <c r="A59" s="9">
        <v>46098</v>
      </c>
      <c r="B59" s="2" t="s">
        <v>23</v>
      </c>
      <c r="C59" s="5">
        <v>145000</v>
      </c>
      <c r="D59" s="5"/>
      <c r="E59" s="6">
        <f t="shared" si="0"/>
        <v>366.3099999986589</v>
      </c>
      <c r="F59" s="5"/>
      <c r="G59" s="6"/>
    </row>
    <row r="60" spans="1:7">
      <c r="A60" s="9">
        <v>46101</v>
      </c>
      <c r="B60" s="2" t="s">
        <v>128</v>
      </c>
      <c r="C60" s="5"/>
      <c r="D60" s="5">
        <v>70000</v>
      </c>
      <c r="E60" s="6">
        <f t="shared" si="0"/>
        <v>70366.309999998659</v>
      </c>
      <c r="F60" s="5"/>
      <c r="G60" s="6"/>
    </row>
    <row r="61" spans="1:7">
      <c r="A61" s="9">
        <v>46112</v>
      </c>
      <c r="B61" s="2" t="s">
        <v>110</v>
      </c>
      <c r="C61" s="5"/>
      <c r="D61" s="5">
        <v>2363259.13</v>
      </c>
      <c r="E61" s="6">
        <f t="shared" si="0"/>
        <v>2433625.4399999985</v>
      </c>
      <c r="F61" s="5"/>
      <c r="G61" s="6"/>
    </row>
    <row r="62" spans="1:7">
      <c r="A62" s="9">
        <v>46113</v>
      </c>
      <c r="B62" s="2" t="s">
        <v>99</v>
      </c>
      <c r="C62" s="5"/>
      <c r="D62" s="5">
        <v>1175000</v>
      </c>
      <c r="E62" s="6">
        <f t="shared" si="0"/>
        <v>3608625.4399999985</v>
      </c>
      <c r="F62" s="5"/>
      <c r="G62" s="6"/>
    </row>
    <row r="63" spans="1:7">
      <c r="A63" s="9">
        <v>46118</v>
      </c>
      <c r="B63" s="2" t="s">
        <v>101</v>
      </c>
      <c r="C63" s="5">
        <v>3293303.91</v>
      </c>
      <c r="D63" s="5"/>
      <c r="E63" s="6">
        <f t="shared" si="0"/>
        <v>315321.5299999984</v>
      </c>
      <c r="F63" s="5"/>
      <c r="G63" s="6"/>
    </row>
    <row r="64" spans="1:7">
      <c r="A64" s="9">
        <v>46119</v>
      </c>
      <c r="B64" s="2" t="s">
        <v>11</v>
      </c>
      <c r="C64" s="5"/>
      <c r="D64" s="5">
        <v>1010000</v>
      </c>
      <c r="E64" s="6">
        <f t="shared" si="0"/>
        <v>1325321.5299999984</v>
      </c>
      <c r="F64" s="5"/>
      <c r="G64" s="6"/>
    </row>
    <row r="65" spans="1:7">
      <c r="A65" s="9">
        <v>46120</v>
      </c>
      <c r="B65" s="2" t="s">
        <v>102</v>
      </c>
      <c r="C65" s="5">
        <v>400000</v>
      </c>
      <c r="D65" s="5"/>
      <c r="E65" s="6">
        <f t="shared" si="0"/>
        <v>925321.5299999984</v>
      </c>
      <c r="F65" s="5"/>
      <c r="G65" s="6"/>
    </row>
    <row r="66" spans="1:7">
      <c r="A66" s="9">
        <v>46125</v>
      </c>
      <c r="B66" s="2" t="s">
        <v>115</v>
      </c>
      <c r="C66" s="5">
        <v>922093</v>
      </c>
      <c r="D66" s="5"/>
      <c r="E66" s="6">
        <f t="shared" si="0"/>
        <v>3228.5299999983981</v>
      </c>
      <c r="F66" s="5"/>
      <c r="G66" s="6"/>
    </row>
    <row r="67" spans="1:7">
      <c r="A67" s="9">
        <v>46125</v>
      </c>
      <c r="B67" s="2" t="s">
        <v>129</v>
      </c>
      <c r="C67" s="5"/>
      <c r="D67" s="5">
        <v>9205.5</v>
      </c>
      <c r="E67" s="6">
        <f t="shared" si="0"/>
        <v>12434.029999998398</v>
      </c>
      <c r="F67" s="5"/>
      <c r="G67" s="6"/>
    </row>
    <row r="68" spans="1:7">
      <c r="A68" s="9">
        <v>46126</v>
      </c>
      <c r="B68" s="2" t="s">
        <v>109</v>
      </c>
      <c r="C68" s="5"/>
      <c r="D68" s="5">
        <v>1035000</v>
      </c>
      <c r="E68" s="6">
        <f t="shared" si="0"/>
        <v>1047434.0299999984</v>
      </c>
      <c r="F68" s="5"/>
      <c r="G68" s="6"/>
    </row>
    <row r="69" spans="1:7">
      <c r="A69" s="9">
        <v>46127</v>
      </c>
      <c r="B69" s="2" t="s">
        <v>130</v>
      </c>
      <c r="C69" s="5">
        <v>1000000</v>
      </c>
      <c r="D69" s="5"/>
      <c r="E69" s="6">
        <f t="shared" si="0"/>
        <v>47434.029999998398</v>
      </c>
      <c r="F69" s="5"/>
      <c r="G69" s="6"/>
    </row>
    <row r="70" spans="1:7">
      <c r="A70" s="9">
        <v>46129</v>
      </c>
      <c r="B70" s="2" t="s">
        <v>123</v>
      </c>
      <c r="C70" s="5"/>
      <c r="D70" s="5">
        <v>12799.2</v>
      </c>
      <c r="E70" s="6">
        <f t="shared" si="0"/>
        <v>60233.229999998395</v>
      </c>
      <c r="F70" s="5"/>
      <c r="G70" s="6"/>
    </row>
    <row r="71" spans="1:7">
      <c r="A71" s="9">
        <v>46135</v>
      </c>
      <c r="B71" s="2" t="s">
        <v>23</v>
      </c>
      <c r="C71" s="5">
        <v>60000</v>
      </c>
      <c r="D71" s="5"/>
      <c r="E71" s="6">
        <f t="shared" si="0"/>
        <v>233.22999999839521</v>
      </c>
      <c r="F71" s="5"/>
      <c r="G71" s="6"/>
    </row>
    <row r="72" spans="1:7">
      <c r="A72" s="9">
        <v>46142</v>
      </c>
      <c r="B72" s="2" t="s">
        <v>110</v>
      </c>
      <c r="C72" s="5"/>
      <c r="D72" s="5">
        <v>2482341.86</v>
      </c>
      <c r="E72" s="6">
        <f t="shared" si="0"/>
        <v>2482575.0899999985</v>
      </c>
      <c r="F72" s="5"/>
      <c r="G72" s="6"/>
    </row>
    <row r="73" spans="1:7">
      <c r="A73" s="9">
        <v>46143</v>
      </c>
      <c r="B73" s="2" t="s">
        <v>131</v>
      </c>
      <c r="C73" s="5">
        <v>80000</v>
      </c>
      <c r="D73" s="5"/>
      <c r="E73" s="6">
        <f t="shared" si="0"/>
        <v>2402575.0899999985</v>
      </c>
      <c r="F73" s="5"/>
      <c r="G73" s="6"/>
    </row>
    <row r="74" spans="1:7">
      <c r="A74" s="9">
        <v>46146</v>
      </c>
      <c r="B74" s="2" t="s">
        <v>132</v>
      </c>
      <c r="C74" s="5">
        <v>141500</v>
      </c>
      <c r="D74" s="5"/>
      <c r="E74" s="6">
        <f t="shared" si="0"/>
        <v>2261075.0899999985</v>
      </c>
      <c r="F74" s="5">
        <v>100</v>
      </c>
      <c r="G74" s="6"/>
    </row>
    <row r="75" spans="1:7">
      <c r="A75" s="9">
        <v>46146</v>
      </c>
      <c r="B75" s="2" t="s">
        <v>99</v>
      </c>
      <c r="C75" s="5"/>
      <c r="D75" s="5">
        <v>1175000</v>
      </c>
      <c r="E75" s="6">
        <f t="shared" si="0"/>
        <v>3436075.0899999985</v>
      </c>
      <c r="F75" s="5"/>
      <c r="G75" s="6"/>
    </row>
    <row r="76" spans="1:7">
      <c r="A76" s="9">
        <v>46148</v>
      </c>
      <c r="B76" s="2" t="s">
        <v>133</v>
      </c>
      <c r="C76" s="5">
        <v>463626</v>
      </c>
      <c r="D76" s="5"/>
      <c r="E76" s="6">
        <f t="shared" si="0"/>
        <v>2972449.0899999985</v>
      </c>
      <c r="F76" s="5"/>
      <c r="G76" s="6"/>
    </row>
    <row r="77" spans="1:7">
      <c r="A77" s="9">
        <v>46148</v>
      </c>
      <c r="B77" s="2" t="s">
        <v>11</v>
      </c>
      <c r="C77" s="5"/>
      <c r="D77" s="5">
        <v>550000</v>
      </c>
      <c r="E77" s="6">
        <f t="shared" si="0"/>
        <v>3522449.0899999985</v>
      </c>
      <c r="F77" s="5"/>
      <c r="G77" s="6"/>
    </row>
    <row r="78" spans="1:7">
      <c r="A78" s="9">
        <v>46149</v>
      </c>
      <c r="B78" s="2" t="s">
        <v>101</v>
      </c>
      <c r="C78" s="5">
        <v>3141954.73</v>
      </c>
      <c r="D78" s="5"/>
      <c r="E78" s="6">
        <f t="shared" si="0"/>
        <v>380494.35999999847</v>
      </c>
      <c r="F78" s="5"/>
      <c r="G78" s="6"/>
    </row>
    <row r="79" spans="1:7">
      <c r="A79" s="9">
        <v>46149</v>
      </c>
      <c r="B79" s="2" t="s">
        <v>109</v>
      </c>
      <c r="C79" s="5"/>
      <c r="D79" s="5">
        <v>1147500</v>
      </c>
      <c r="E79" s="6">
        <f t="shared" si="0"/>
        <v>1527994.3599999985</v>
      </c>
      <c r="F79" s="5"/>
      <c r="G79" s="6"/>
    </row>
    <row r="80" spans="1:7">
      <c r="A80" s="9">
        <v>46150</v>
      </c>
      <c r="B80" s="2" t="s">
        <v>102</v>
      </c>
      <c r="C80" s="5">
        <v>680000</v>
      </c>
      <c r="D80" s="5"/>
      <c r="E80" s="6">
        <f t="shared" si="0"/>
        <v>847994.35999999847</v>
      </c>
      <c r="F80" s="5"/>
      <c r="G80" s="6"/>
    </row>
    <row r="81" spans="1:7">
      <c r="A81" s="9">
        <v>46151</v>
      </c>
      <c r="B81" s="2" t="s">
        <v>130</v>
      </c>
      <c r="C81" s="5">
        <v>16000</v>
      </c>
      <c r="D81" s="5"/>
      <c r="E81" s="6">
        <f t="shared" si="0"/>
        <v>831994.35999999847</v>
      </c>
      <c r="F81" s="5"/>
      <c r="G81" s="6"/>
    </row>
    <row r="82" spans="1:7">
      <c r="A82" s="9">
        <v>46151</v>
      </c>
      <c r="B82" s="2" t="s">
        <v>115</v>
      </c>
      <c r="C82" s="5">
        <v>831526</v>
      </c>
      <c r="D82" s="5"/>
      <c r="E82" s="6">
        <f t="shared" si="0"/>
        <v>468.35999999847263</v>
      </c>
      <c r="F82" s="5"/>
      <c r="G82" s="6"/>
    </row>
    <row r="83" spans="1:7">
      <c r="A83" s="9">
        <v>46160</v>
      </c>
      <c r="B83" s="2" t="s">
        <v>134</v>
      </c>
      <c r="C83" s="5"/>
      <c r="D83" s="5">
        <v>200000</v>
      </c>
      <c r="E83" s="6">
        <f t="shared" si="0"/>
        <v>200468.35999999847</v>
      </c>
      <c r="F83" s="5"/>
      <c r="G83" s="6"/>
    </row>
    <row r="84" spans="1:7">
      <c r="A84" s="9">
        <v>46171</v>
      </c>
      <c r="B84" s="2" t="s">
        <v>110</v>
      </c>
      <c r="C84" s="5"/>
      <c r="D84" s="5">
        <v>2482341.86</v>
      </c>
      <c r="E84" s="6">
        <f t="shared" si="0"/>
        <v>2682810.2199999983</v>
      </c>
      <c r="F84" s="5"/>
      <c r="G84" s="6"/>
    </row>
    <row r="85" spans="1:7">
      <c r="A85" s="9">
        <v>46173</v>
      </c>
      <c r="B85" s="2" t="s">
        <v>70</v>
      </c>
      <c r="C85" s="5">
        <v>300000</v>
      </c>
      <c r="D85" s="5"/>
      <c r="E85" s="6">
        <f t="shared" si="0"/>
        <v>2382810.2199999983</v>
      </c>
      <c r="F85" s="5"/>
      <c r="G85" s="6"/>
    </row>
    <row r="86" spans="1:7">
      <c r="A86" s="9">
        <v>46174</v>
      </c>
      <c r="B86" s="2" t="s">
        <v>99</v>
      </c>
      <c r="C86" s="5"/>
      <c r="D86" s="5">
        <v>1175000</v>
      </c>
      <c r="E86" s="6">
        <f t="shared" si="0"/>
        <v>3557810.2199999983</v>
      </c>
      <c r="F86" s="5"/>
      <c r="G86" s="6"/>
    </row>
    <row r="87" spans="1:7">
      <c r="A87" s="9">
        <v>46174</v>
      </c>
      <c r="B87" s="2" t="s">
        <v>135</v>
      </c>
      <c r="C87" s="5">
        <v>92000</v>
      </c>
      <c r="D87" s="5"/>
      <c r="E87" s="6">
        <f t="shared" si="0"/>
        <v>3465810.2199999983</v>
      </c>
      <c r="F87" s="5"/>
      <c r="G87" s="6"/>
    </row>
    <row r="88" spans="1:7">
      <c r="A88" s="9">
        <v>46174</v>
      </c>
      <c r="B88" s="2" t="s">
        <v>136</v>
      </c>
      <c r="C88" s="5">
        <v>205850</v>
      </c>
      <c r="D88" s="5"/>
      <c r="E88" s="6">
        <f t="shared" si="0"/>
        <v>3259960.2199999983</v>
      </c>
      <c r="F88" s="5"/>
      <c r="G88" s="6"/>
    </row>
    <row r="89" spans="1:7">
      <c r="A89" s="9">
        <v>46177</v>
      </c>
      <c r="B89" s="2" t="s">
        <v>137</v>
      </c>
      <c r="C89" s="5"/>
      <c r="D89" s="5">
        <v>59389.04</v>
      </c>
      <c r="E89" s="6">
        <f t="shared" si="0"/>
        <v>3319349.2599999984</v>
      </c>
      <c r="F89" s="5"/>
      <c r="G89" s="6"/>
    </row>
    <row r="90" spans="1:7">
      <c r="A90" s="9">
        <v>46177</v>
      </c>
      <c r="B90" s="2" t="s">
        <v>101</v>
      </c>
      <c r="C90" s="5">
        <v>3142880.56</v>
      </c>
      <c r="D90" s="5"/>
      <c r="E90" s="6">
        <f t="shared" si="0"/>
        <v>176468.69999999832</v>
      </c>
      <c r="F90" s="5"/>
      <c r="G90" s="6"/>
    </row>
    <row r="91" spans="1:7">
      <c r="A91" s="9">
        <v>46178</v>
      </c>
      <c r="B91" s="2" t="s">
        <v>130</v>
      </c>
      <c r="C91" s="5">
        <v>50000</v>
      </c>
      <c r="D91" s="5"/>
      <c r="E91" s="6">
        <f t="shared" si="0"/>
        <v>126468.69999999832</v>
      </c>
      <c r="F91" s="5"/>
      <c r="G91" s="6"/>
    </row>
    <row r="92" spans="1:7">
      <c r="A92" s="9">
        <v>46180</v>
      </c>
      <c r="B92" s="2" t="s">
        <v>23</v>
      </c>
      <c r="C92" s="5">
        <v>110000</v>
      </c>
      <c r="D92" s="5"/>
      <c r="E92" s="6">
        <f t="shared" si="0"/>
        <v>16468.699999998324</v>
      </c>
      <c r="F92" s="5"/>
      <c r="G92" s="6"/>
    </row>
    <row r="93" spans="1:7">
      <c r="A93" s="9">
        <v>46180</v>
      </c>
      <c r="B93" s="2" t="s">
        <v>138</v>
      </c>
      <c r="C93" s="5"/>
      <c r="D93" s="5">
        <v>600000</v>
      </c>
      <c r="E93" s="6">
        <f t="shared" si="0"/>
        <v>616468.69999999832</v>
      </c>
      <c r="F93" s="5"/>
      <c r="G93" s="6"/>
    </row>
    <row r="94" spans="1:7">
      <c r="A94" s="9">
        <v>46181</v>
      </c>
      <c r="B94" s="2" t="s">
        <v>109</v>
      </c>
      <c r="C94" s="5"/>
      <c r="D94" s="5">
        <v>787500</v>
      </c>
      <c r="E94" s="6">
        <f t="shared" si="0"/>
        <v>1403968.6999999983</v>
      </c>
      <c r="F94" s="5"/>
      <c r="G94" s="6"/>
    </row>
    <row r="95" spans="1:7">
      <c r="A95" s="9">
        <v>46181</v>
      </c>
      <c r="B95" s="2" t="s">
        <v>123</v>
      </c>
      <c r="C95" s="5"/>
      <c r="D95" s="5">
        <v>11255.42</v>
      </c>
      <c r="E95" s="6">
        <f t="shared" si="0"/>
        <v>1415224.1199999982</v>
      </c>
      <c r="F95" s="5"/>
      <c r="G95" s="6"/>
    </row>
    <row r="96" spans="1:7">
      <c r="A96" s="9">
        <v>46181</v>
      </c>
      <c r="B96" s="2" t="s">
        <v>23</v>
      </c>
      <c r="C96" s="5">
        <v>120000</v>
      </c>
      <c r="D96" s="5"/>
      <c r="E96" s="6">
        <f t="shared" si="0"/>
        <v>1295224.1199999982</v>
      </c>
      <c r="F96" s="5"/>
      <c r="G96" s="6"/>
    </row>
    <row r="97" spans="1:7">
      <c r="A97" s="9">
        <v>46182</v>
      </c>
      <c r="B97" s="2" t="s">
        <v>131</v>
      </c>
      <c r="C97" s="5">
        <v>80000</v>
      </c>
      <c r="D97" s="5"/>
      <c r="E97" s="6">
        <f t="shared" si="0"/>
        <v>1215224.1199999982</v>
      </c>
      <c r="F97" s="5"/>
      <c r="G97" s="6"/>
    </row>
    <row r="98" spans="1:7">
      <c r="A98" s="9">
        <v>46182</v>
      </c>
      <c r="B98" s="2" t="s">
        <v>130</v>
      </c>
      <c r="C98" s="5">
        <v>250000</v>
      </c>
      <c r="D98" s="5"/>
      <c r="E98" s="6">
        <f t="shared" si="0"/>
        <v>965224.11999999825</v>
      </c>
      <c r="F98" s="5"/>
      <c r="G98" s="6"/>
    </row>
    <row r="99" spans="1:7">
      <c r="A99" s="9">
        <v>46182</v>
      </c>
      <c r="B99" s="2" t="s">
        <v>11</v>
      </c>
      <c r="C99" s="5"/>
      <c r="D99" s="5">
        <v>400000</v>
      </c>
      <c r="E99" s="6">
        <f t="shared" si="0"/>
        <v>1365224.1199999982</v>
      </c>
      <c r="F99" s="5"/>
      <c r="G99" s="6"/>
    </row>
    <row r="100" spans="1:7">
      <c r="A100" s="9">
        <v>46182</v>
      </c>
      <c r="B100" s="2" t="s">
        <v>130</v>
      </c>
      <c r="C100" s="5">
        <v>400000</v>
      </c>
      <c r="D100" s="5"/>
      <c r="E100" s="6">
        <f t="shared" si="0"/>
        <v>965224.11999999825</v>
      </c>
      <c r="F100" s="5"/>
      <c r="G100" s="6"/>
    </row>
    <row r="101" spans="1:7">
      <c r="A101" s="9">
        <v>46183</v>
      </c>
      <c r="B101" s="2" t="s">
        <v>115</v>
      </c>
      <c r="C101" s="5">
        <v>946026</v>
      </c>
      <c r="D101" s="5"/>
      <c r="E101" s="6">
        <f t="shared" si="0"/>
        <v>19198.119999998249</v>
      </c>
      <c r="F101" s="5"/>
      <c r="G101" s="6"/>
    </row>
    <row r="102" spans="1:7">
      <c r="A102" s="9">
        <v>46185</v>
      </c>
      <c r="B102" s="2" t="s">
        <v>11</v>
      </c>
      <c r="C102" s="5"/>
      <c r="D102" s="5">
        <v>700000</v>
      </c>
      <c r="E102" s="6">
        <f t="shared" si="0"/>
        <v>719198.11999999825</v>
      </c>
      <c r="F102" s="5"/>
      <c r="G102" s="6"/>
    </row>
    <row r="103" spans="1:7">
      <c r="A103" s="9">
        <v>46185</v>
      </c>
      <c r="B103" s="2" t="s">
        <v>102</v>
      </c>
      <c r="C103" s="5">
        <v>700000</v>
      </c>
      <c r="D103" s="5"/>
      <c r="E103" s="6">
        <f t="shared" si="0"/>
        <v>19198.119999998249</v>
      </c>
      <c r="F103" s="5"/>
      <c r="G103" s="6"/>
    </row>
    <row r="104" spans="1:7">
      <c r="A104" s="9">
        <v>46195</v>
      </c>
      <c r="B104" s="2" t="s">
        <v>23</v>
      </c>
      <c r="C104" s="5">
        <v>19000</v>
      </c>
      <c r="D104" s="5"/>
      <c r="E104" s="6">
        <f t="shared" si="0"/>
        <v>198.11999999824911</v>
      </c>
      <c r="F104" s="5"/>
      <c r="G104" s="6"/>
    </row>
    <row r="105" spans="1:7">
      <c r="A105" s="9">
        <v>46201</v>
      </c>
      <c r="B105" s="2" t="s">
        <v>140</v>
      </c>
      <c r="C105" s="5">
        <v>135309</v>
      </c>
      <c r="D105" s="5"/>
      <c r="E105" s="6">
        <f t="shared" si="0"/>
        <v>-135110.88000000175</v>
      </c>
      <c r="F105" s="5"/>
      <c r="G105" s="6"/>
    </row>
    <row r="106" spans="1:7">
      <c r="A106" s="9"/>
      <c r="B106" s="2"/>
      <c r="C106" s="5"/>
      <c r="D106" s="5"/>
      <c r="E106" s="6"/>
      <c r="F106" s="5"/>
      <c r="G10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23"/>
  <sheetViews>
    <sheetView topLeftCell="A295" workbookViewId="0">
      <selection activeCell="A318" sqref="A318:XFD330"/>
    </sheetView>
  </sheetViews>
  <sheetFormatPr defaultColWidth="17.28515625" defaultRowHeight="15" customHeight="1"/>
  <cols>
    <col min="2" max="2" width="43.140625" customWidth="1"/>
    <col min="4" max="4" width="19.28515625" customWidth="1"/>
    <col min="6" max="6" width="5.140625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5"/>
      <c r="J1" s="6"/>
    </row>
    <row r="2" spans="1:10">
      <c r="A2" s="7">
        <v>46023</v>
      </c>
      <c r="B2" s="2" t="s">
        <v>141</v>
      </c>
      <c r="C2" s="3">
        <v>15312.8</v>
      </c>
      <c r="D2" s="3"/>
      <c r="E2" s="5">
        <v>11885.85</v>
      </c>
      <c r="J2" s="6"/>
    </row>
    <row r="3" spans="1:10">
      <c r="A3" s="7">
        <v>46023</v>
      </c>
      <c r="B3" s="2" t="s">
        <v>142</v>
      </c>
      <c r="C3" s="3"/>
      <c r="D3" s="3"/>
      <c r="E3" s="6">
        <f t="shared" ref="E3:E257" si="0">E2+D3-C3</f>
        <v>11885.85</v>
      </c>
      <c r="J3" s="6"/>
    </row>
    <row r="4" spans="1:10">
      <c r="A4" s="7">
        <v>46023</v>
      </c>
      <c r="B4" s="2" t="s">
        <v>143</v>
      </c>
      <c r="C4" s="3"/>
      <c r="D4" s="3"/>
      <c r="E4" s="6">
        <f t="shared" si="0"/>
        <v>11885.85</v>
      </c>
      <c r="J4" s="6"/>
    </row>
    <row r="5" spans="1:10">
      <c r="A5" s="7">
        <v>46024</v>
      </c>
      <c r="B5" s="2" t="s">
        <v>144</v>
      </c>
      <c r="C5" s="3"/>
      <c r="D5" s="3">
        <v>630000</v>
      </c>
      <c r="E5" s="6">
        <f t="shared" si="0"/>
        <v>641885.85</v>
      </c>
      <c r="I5" s="3"/>
      <c r="J5" s="6"/>
    </row>
    <row r="6" spans="1:10">
      <c r="A6" s="7">
        <v>46024</v>
      </c>
      <c r="B6" s="2" t="s">
        <v>145</v>
      </c>
      <c r="C6" s="3"/>
      <c r="D6" s="3">
        <v>330000</v>
      </c>
      <c r="E6" s="6">
        <f t="shared" si="0"/>
        <v>971885.85</v>
      </c>
      <c r="J6" s="6"/>
    </row>
    <row r="7" spans="1:10">
      <c r="A7" s="9">
        <v>46026</v>
      </c>
      <c r="B7" s="2" t="s">
        <v>146</v>
      </c>
      <c r="C7" s="3">
        <v>125000</v>
      </c>
      <c r="D7" s="3"/>
      <c r="E7" s="6">
        <f t="shared" si="0"/>
        <v>846885.85</v>
      </c>
      <c r="J7" s="6"/>
    </row>
    <row r="8" spans="1:10">
      <c r="A8" s="7">
        <v>46027</v>
      </c>
      <c r="B8" s="2" t="s">
        <v>147</v>
      </c>
      <c r="C8" s="3">
        <v>33384</v>
      </c>
      <c r="D8" s="3"/>
      <c r="E8" s="6">
        <f t="shared" si="0"/>
        <v>813501.85</v>
      </c>
      <c r="J8" s="6"/>
    </row>
    <row r="9" spans="1:10">
      <c r="A9" s="7">
        <v>46027</v>
      </c>
      <c r="B9" s="2" t="s">
        <v>148</v>
      </c>
      <c r="C9" s="3"/>
      <c r="D9" s="3">
        <v>22491</v>
      </c>
      <c r="E9" s="6">
        <f t="shared" si="0"/>
        <v>835992.85</v>
      </c>
      <c r="J9" s="6"/>
    </row>
    <row r="10" spans="1:10">
      <c r="A10" s="7">
        <v>46027</v>
      </c>
      <c r="B10" s="2" t="s">
        <v>149</v>
      </c>
      <c r="C10" s="3">
        <v>125000</v>
      </c>
      <c r="D10" s="3"/>
      <c r="E10" s="6">
        <f t="shared" si="0"/>
        <v>710992.85</v>
      </c>
      <c r="J10" s="6"/>
    </row>
    <row r="11" spans="1:10">
      <c r="A11" s="7">
        <v>46028</v>
      </c>
      <c r="B11" s="2" t="s">
        <v>150</v>
      </c>
      <c r="C11" s="3">
        <v>10000</v>
      </c>
      <c r="D11" s="3"/>
      <c r="E11" s="6">
        <f t="shared" si="0"/>
        <v>700992.85</v>
      </c>
      <c r="J11" s="6"/>
    </row>
    <row r="12" spans="1:10">
      <c r="A12" s="7">
        <v>46028</v>
      </c>
      <c r="B12" s="2" t="s">
        <v>151</v>
      </c>
      <c r="C12" s="3">
        <v>3290</v>
      </c>
      <c r="D12" s="3"/>
      <c r="E12" s="6">
        <f t="shared" si="0"/>
        <v>697702.85</v>
      </c>
      <c r="J12" s="6"/>
    </row>
    <row r="13" spans="1:10">
      <c r="A13" s="7">
        <v>46028</v>
      </c>
      <c r="B13" s="2" t="s">
        <v>152</v>
      </c>
      <c r="C13" s="3">
        <v>69900</v>
      </c>
      <c r="D13" s="3"/>
      <c r="E13" s="6">
        <f t="shared" si="0"/>
        <v>627802.85</v>
      </c>
      <c r="J13" s="6"/>
    </row>
    <row r="14" spans="1:10">
      <c r="A14" s="7">
        <v>46027</v>
      </c>
      <c r="B14" s="2" t="s">
        <v>153</v>
      </c>
      <c r="C14" s="3"/>
      <c r="D14" s="3"/>
      <c r="E14" s="6">
        <f t="shared" si="0"/>
        <v>627802.85</v>
      </c>
      <c r="J14" s="6"/>
    </row>
    <row r="15" spans="1:10">
      <c r="A15" s="7">
        <v>46028</v>
      </c>
      <c r="B15" s="2" t="s">
        <v>154</v>
      </c>
      <c r="C15" s="3"/>
      <c r="D15" s="3"/>
      <c r="E15" s="6">
        <f t="shared" si="0"/>
        <v>627802.85</v>
      </c>
      <c r="J15" s="6"/>
    </row>
    <row r="16" spans="1:10">
      <c r="A16" s="7">
        <v>46028</v>
      </c>
      <c r="B16" s="2" t="s">
        <v>155</v>
      </c>
      <c r="C16" s="3">
        <v>85721.64</v>
      </c>
      <c r="D16" s="3"/>
      <c r="E16" s="6">
        <f t="shared" si="0"/>
        <v>542081.21</v>
      </c>
      <c r="J16" s="6"/>
    </row>
    <row r="17" spans="1:10">
      <c r="A17" s="7">
        <v>46028</v>
      </c>
      <c r="B17" s="2" t="s">
        <v>156</v>
      </c>
      <c r="C17" s="3"/>
      <c r="D17" s="3"/>
      <c r="E17" s="6">
        <f t="shared" si="0"/>
        <v>542081.21</v>
      </c>
      <c r="J17" s="6"/>
    </row>
    <row r="18" spans="1:10">
      <c r="A18" s="7">
        <v>46028</v>
      </c>
      <c r="B18" s="2" t="s">
        <v>157</v>
      </c>
      <c r="C18" s="3"/>
      <c r="D18" s="3"/>
      <c r="E18" s="6">
        <f t="shared" si="0"/>
        <v>542081.21</v>
      </c>
      <c r="J18" s="6"/>
    </row>
    <row r="19" spans="1:10">
      <c r="A19" s="7">
        <v>46028</v>
      </c>
      <c r="B19" s="2" t="s">
        <v>158</v>
      </c>
      <c r="C19" s="3">
        <v>19800</v>
      </c>
      <c r="D19" s="3"/>
      <c r="E19" s="6">
        <f t="shared" si="0"/>
        <v>522281.20999999996</v>
      </c>
      <c r="J19" s="6"/>
    </row>
    <row r="20" spans="1:10">
      <c r="A20" s="7">
        <v>46029</v>
      </c>
      <c r="B20" s="2" t="s">
        <v>159</v>
      </c>
      <c r="C20" s="3">
        <v>38400</v>
      </c>
      <c r="D20" s="3"/>
      <c r="E20" s="6">
        <f t="shared" si="0"/>
        <v>483881.20999999996</v>
      </c>
      <c r="J20" s="6"/>
    </row>
    <row r="21" spans="1:10">
      <c r="A21" s="7">
        <v>46029</v>
      </c>
      <c r="B21" s="2" t="s">
        <v>160</v>
      </c>
      <c r="C21" s="3">
        <v>5000</v>
      </c>
      <c r="D21" s="3"/>
      <c r="E21" s="6">
        <f t="shared" si="0"/>
        <v>478881.20999999996</v>
      </c>
      <c r="J21" s="6"/>
    </row>
    <row r="22" spans="1:10">
      <c r="A22" s="7">
        <v>46029</v>
      </c>
      <c r="B22" s="2" t="s">
        <v>161</v>
      </c>
      <c r="C22" s="3">
        <v>50000</v>
      </c>
      <c r="D22" s="3"/>
      <c r="E22" s="6">
        <f t="shared" si="0"/>
        <v>428881.20999999996</v>
      </c>
      <c r="J22" s="6"/>
    </row>
    <row r="23" spans="1:10">
      <c r="A23" s="7">
        <v>46029</v>
      </c>
      <c r="B23" s="2" t="s">
        <v>162</v>
      </c>
      <c r="C23" s="3">
        <v>8398</v>
      </c>
      <c r="D23" s="3"/>
      <c r="E23" s="6">
        <f t="shared" si="0"/>
        <v>420483.20999999996</v>
      </c>
      <c r="J23" s="6"/>
    </row>
    <row r="24" spans="1:10">
      <c r="A24" s="7">
        <v>46030</v>
      </c>
      <c r="B24" s="2" t="s">
        <v>163</v>
      </c>
      <c r="C24" s="3"/>
      <c r="D24" s="3">
        <v>1200000</v>
      </c>
      <c r="E24" s="6">
        <f t="shared" si="0"/>
        <v>1620483.21</v>
      </c>
      <c r="J24" s="6"/>
    </row>
    <row r="25" spans="1:10">
      <c r="A25" s="7">
        <v>46030</v>
      </c>
      <c r="B25" s="2" t="s">
        <v>57</v>
      </c>
      <c r="C25" s="3"/>
      <c r="D25" s="3">
        <v>400000</v>
      </c>
      <c r="E25" s="6">
        <f t="shared" si="0"/>
        <v>2020483.21</v>
      </c>
      <c r="J25" s="6"/>
    </row>
    <row r="26" spans="1:10">
      <c r="A26" s="7">
        <v>46030</v>
      </c>
      <c r="B26" s="2" t="s">
        <v>164</v>
      </c>
      <c r="C26" s="3">
        <v>1953778</v>
      </c>
      <c r="D26" s="3"/>
      <c r="E26" s="6">
        <f t="shared" si="0"/>
        <v>66705.209999999963</v>
      </c>
      <c r="J26" s="6"/>
    </row>
    <row r="27" spans="1:10">
      <c r="A27" s="7">
        <v>46034</v>
      </c>
      <c r="B27" s="2" t="s">
        <v>165</v>
      </c>
      <c r="C27" s="3"/>
      <c r="D27" s="3"/>
      <c r="E27" s="6">
        <f t="shared" si="0"/>
        <v>66705.209999999963</v>
      </c>
      <c r="J27" s="6"/>
    </row>
    <row r="28" spans="1:10">
      <c r="A28" s="7">
        <v>46030</v>
      </c>
      <c r="B28" s="2" t="s">
        <v>130</v>
      </c>
      <c r="C28" s="3">
        <v>10000</v>
      </c>
      <c r="D28" s="3"/>
      <c r="E28" s="6">
        <f t="shared" si="0"/>
        <v>56705.209999999963</v>
      </c>
      <c r="J28" s="6"/>
    </row>
    <row r="29" spans="1:10">
      <c r="A29" s="7">
        <v>46031</v>
      </c>
      <c r="B29" s="2" t="s">
        <v>166</v>
      </c>
      <c r="C29" s="3"/>
      <c r="D29" s="3"/>
      <c r="E29" s="6">
        <f t="shared" si="0"/>
        <v>56705.209999999963</v>
      </c>
      <c r="J29" s="6"/>
    </row>
    <row r="30" spans="1:10">
      <c r="A30" s="7">
        <v>46034</v>
      </c>
      <c r="B30" s="2" t="s">
        <v>167</v>
      </c>
      <c r="C30" s="3"/>
      <c r="D30" s="3">
        <v>78748.5</v>
      </c>
      <c r="E30" s="6">
        <f t="shared" si="0"/>
        <v>135453.70999999996</v>
      </c>
      <c r="J30" s="6"/>
    </row>
    <row r="31" spans="1:10">
      <c r="A31" s="7">
        <v>46034</v>
      </c>
      <c r="B31" s="2" t="s">
        <v>168</v>
      </c>
      <c r="C31" s="3">
        <v>108000</v>
      </c>
      <c r="D31" s="3"/>
      <c r="E31" s="6">
        <f t="shared" si="0"/>
        <v>27453.709999999963</v>
      </c>
      <c r="J31" s="6"/>
    </row>
    <row r="32" spans="1:10">
      <c r="A32" s="7">
        <v>46035</v>
      </c>
      <c r="B32" s="2" t="s">
        <v>148</v>
      </c>
      <c r="C32" s="3"/>
      <c r="D32" s="3">
        <v>16500</v>
      </c>
      <c r="E32" s="6">
        <f t="shared" si="0"/>
        <v>43953.709999999963</v>
      </c>
      <c r="J32" s="6"/>
    </row>
    <row r="33" spans="1:10">
      <c r="A33" s="7">
        <v>46035</v>
      </c>
      <c r="B33" s="2" t="s">
        <v>169</v>
      </c>
      <c r="C33" s="3"/>
      <c r="D33" s="3"/>
      <c r="E33" s="6">
        <f t="shared" si="0"/>
        <v>43953.709999999963</v>
      </c>
      <c r="J33" s="6"/>
    </row>
    <row r="34" spans="1:10">
      <c r="A34" s="7">
        <v>46037</v>
      </c>
      <c r="B34" s="2" t="s">
        <v>57</v>
      </c>
      <c r="C34" s="3"/>
      <c r="D34" s="3">
        <v>100000</v>
      </c>
      <c r="E34" s="6">
        <f t="shared" si="0"/>
        <v>143953.70999999996</v>
      </c>
      <c r="J34" s="6"/>
    </row>
    <row r="35" spans="1:10">
      <c r="A35" s="7">
        <v>46038</v>
      </c>
      <c r="B35" s="2" t="s">
        <v>170</v>
      </c>
      <c r="C35" s="3"/>
      <c r="D35" s="3"/>
      <c r="E35" s="6">
        <f t="shared" si="0"/>
        <v>143953.70999999996</v>
      </c>
      <c r="J35" s="6"/>
    </row>
    <row r="36" spans="1:10">
      <c r="A36" s="7">
        <v>46041</v>
      </c>
      <c r="B36" s="2" t="s">
        <v>171</v>
      </c>
      <c r="C36" s="3">
        <v>15000</v>
      </c>
      <c r="D36" s="3"/>
      <c r="E36" s="6">
        <f t="shared" si="0"/>
        <v>128953.70999999996</v>
      </c>
      <c r="J36" s="6"/>
    </row>
    <row r="37" spans="1:10">
      <c r="A37" s="7">
        <v>46042</v>
      </c>
      <c r="B37" s="2" t="s">
        <v>160</v>
      </c>
      <c r="C37" s="3">
        <v>5000</v>
      </c>
      <c r="D37" s="3"/>
      <c r="E37" s="6">
        <f t="shared" si="0"/>
        <v>123953.70999999996</v>
      </c>
      <c r="J37" s="6"/>
    </row>
    <row r="38" spans="1:10">
      <c r="A38" s="7">
        <v>46042</v>
      </c>
      <c r="B38" s="2" t="s">
        <v>172</v>
      </c>
      <c r="C38" s="3">
        <v>43000</v>
      </c>
      <c r="D38" s="3"/>
      <c r="E38" s="6">
        <f t="shared" si="0"/>
        <v>80953.709999999963</v>
      </c>
      <c r="J38" s="6"/>
    </row>
    <row r="39" spans="1:10">
      <c r="A39" s="7">
        <v>46043</v>
      </c>
      <c r="B39" s="2" t="s">
        <v>173</v>
      </c>
      <c r="C39" s="3">
        <v>84290.72</v>
      </c>
      <c r="D39" s="3"/>
      <c r="E39" s="6">
        <f t="shared" si="0"/>
        <v>-3337.0100000000384</v>
      </c>
      <c r="J39" s="6"/>
    </row>
    <row r="40" spans="1:10">
      <c r="A40" s="7">
        <v>46043</v>
      </c>
      <c r="B40" s="2" t="s">
        <v>174</v>
      </c>
      <c r="C40" s="3">
        <v>22307.22</v>
      </c>
      <c r="D40" s="3"/>
      <c r="E40" s="6">
        <f t="shared" si="0"/>
        <v>-25644.23000000004</v>
      </c>
      <c r="J40" s="6"/>
    </row>
    <row r="41" spans="1:10">
      <c r="A41" s="7">
        <v>46043</v>
      </c>
      <c r="B41" s="2" t="s">
        <v>175</v>
      </c>
      <c r="C41" s="3">
        <v>13807.79</v>
      </c>
      <c r="D41" s="3"/>
      <c r="E41" s="6">
        <f t="shared" si="0"/>
        <v>-39452.02000000004</v>
      </c>
      <c r="J41" s="6"/>
    </row>
    <row r="42" spans="1:10">
      <c r="A42" s="7">
        <v>46043</v>
      </c>
      <c r="B42" s="2" t="s">
        <v>100</v>
      </c>
      <c r="C42" s="3"/>
      <c r="D42" s="3">
        <v>300000</v>
      </c>
      <c r="E42" s="6">
        <f t="shared" si="0"/>
        <v>260547.97999999995</v>
      </c>
      <c r="J42" s="6"/>
    </row>
    <row r="43" spans="1:10">
      <c r="A43" s="7">
        <v>46044</v>
      </c>
      <c r="B43" s="2" t="s">
        <v>176</v>
      </c>
      <c r="C43" s="3">
        <v>8100</v>
      </c>
      <c r="D43" s="3"/>
      <c r="E43" s="6">
        <f t="shared" si="0"/>
        <v>252447.97999999995</v>
      </c>
      <c r="J43" s="6"/>
    </row>
    <row r="44" spans="1:10">
      <c r="A44" s="7">
        <v>46047</v>
      </c>
      <c r="B44" s="2" t="s">
        <v>177</v>
      </c>
      <c r="C44" s="3"/>
      <c r="D44" s="3">
        <v>20000</v>
      </c>
      <c r="E44" s="6">
        <f t="shared" si="0"/>
        <v>272447.98</v>
      </c>
      <c r="J44" s="6"/>
    </row>
    <row r="45" spans="1:10">
      <c r="A45" s="7">
        <v>46048</v>
      </c>
      <c r="B45" s="2" t="s">
        <v>100</v>
      </c>
      <c r="C45" s="3"/>
      <c r="D45" s="3">
        <v>300000</v>
      </c>
      <c r="E45" s="6">
        <f t="shared" si="0"/>
        <v>572447.98</v>
      </c>
      <c r="J45" s="6"/>
    </row>
    <row r="46" spans="1:10">
      <c r="A46" s="7">
        <v>46049</v>
      </c>
      <c r="B46" s="2" t="s">
        <v>178</v>
      </c>
      <c r="C46" s="3">
        <v>71546.929999999993</v>
      </c>
      <c r="D46" s="3"/>
      <c r="E46" s="6">
        <f t="shared" si="0"/>
        <v>500901.05</v>
      </c>
      <c r="J46" s="6"/>
    </row>
    <row r="47" spans="1:10">
      <c r="A47" s="7">
        <v>46049</v>
      </c>
      <c r="B47" s="2" t="s">
        <v>179</v>
      </c>
      <c r="C47" s="3"/>
      <c r="D47" s="3">
        <v>40000</v>
      </c>
      <c r="E47" s="6">
        <f t="shared" si="0"/>
        <v>540901.05000000005</v>
      </c>
      <c r="J47" s="6"/>
    </row>
    <row r="48" spans="1:10">
      <c r="A48" s="7">
        <v>46052</v>
      </c>
      <c r="B48" s="2" t="s">
        <v>180</v>
      </c>
      <c r="C48" s="3">
        <v>67689.39</v>
      </c>
      <c r="D48" s="3"/>
      <c r="E48" s="6">
        <f t="shared" si="0"/>
        <v>473211.66000000003</v>
      </c>
      <c r="J48" s="6"/>
    </row>
    <row r="49" spans="1:10">
      <c r="A49" s="7">
        <v>46056</v>
      </c>
      <c r="B49" s="2" t="s">
        <v>181</v>
      </c>
      <c r="C49" s="3"/>
      <c r="D49" s="3"/>
      <c r="E49" s="6">
        <f t="shared" si="0"/>
        <v>473211.66000000003</v>
      </c>
      <c r="J49" s="6"/>
    </row>
    <row r="50" spans="1:10">
      <c r="A50" s="7">
        <v>46056</v>
      </c>
      <c r="B50" s="2" t="s">
        <v>155</v>
      </c>
      <c r="C50" s="3">
        <v>87838.96</v>
      </c>
      <c r="D50" s="3"/>
      <c r="E50" s="6">
        <f t="shared" si="0"/>
        <v>385372.7</v>
      </c>
      <c r="J50" s="6"/>
    </row>
    <row r="51" spans="1:10">
      <c r="A51" s="7">
        <v>46057</v>
      </c>
      <c r="B51" s="2" t="s">
        <v>182</v>
      </c>
      <c r="C51" s="3"/>
      <c r="D51" s="3"/>
      <c r="E51" s="6">
        <f t="shared" si="0"/>
        <v>385372.7</v>
      </c>
      <c r="J51" s="6"/>
    </row>
    <row r="52" spans="1:10">
      <c r="A52" s="7">
        <v>46057</v>
      </c>
      <c r="B52" s="2" t="s">
        <v>183</v>
      </c>
      <c r="C52" s="3"/>
      <c r="D52" s="3"/>
      <c r="E52" s="6">
        <f t="shared" si="0"/>
        <v>385372.7</v>
      </c>
      <c r="J52" s="6"/>
    </row>
    <row r="53" spans="1:10">
      <c r="A53" s="7">
        <v>46057</v>
      </c>
      <c r="B53" s="2" t="s">
        <v>100</v>
      </c>
      <c r="C53" s="3"/>
      <c r="D53" s="3">
        <v>400000</v>
      </c>
      <c r="E53" s="6">
        <f t="shared" si="0"/>
        <v>785372.7</v>
      </c>
      <c r="J53" s="6"/>
    </row>
    <row r="54" spans="1:10">
      <c r="A54" s="7">
        <v>46057</v>
      </c>
      <c r="B54" s="2" t="s">
        <v>184</v>
      </c>
      <c r="C54" s="3">
        <v>25346.44</v>
      </c>
      <c r="D54" s="3"/>
      <c r="E54" s="6">
        <f t="shared" si="0"/>
        <v>760026.26</v>
      </c>
      <c r="J54" s="6"/>
    </row>
    <row r="55" spans="1:10">
      <c r="A55" s="7">
        <v>46058</v>
      </c>
      <c r="B55" s="2" t="s">
        <v>185</v>
      </c>
      <c r="C55" s="3"/>
      <c r="D55" s="3">
        <v>360000</v>
      </c>
      <c r="E55" s="6">
        <f t="shared" si="0"/>
        <v>1120026.26</v>
      </c>
      <c r="J55" s="6"/>
    </row>
    <row r="56" spans="1:10">
      <c r="A56" s="7">
        <v>46058</v>
      </c>
      <c r="B56" s="2" t="s">
        <v>23</v>
      </c>
      <c r="C56" s="3">
        <v>1000000</v>
      </c>
      <c r="D56" s="3"/>
      <c r="E56" s="6">
        <f t="shared" si="0"/>
        <v>120026.26000000001</v>
      </c>
      <c r="J56" s="6"/>
    </row>
    <row r="57" spans="1:10">
      <c r="A57" s="7">
        <v>46058</v>
      </c>
      <c r="B57" s="2" t="s">
        <v>186</v>
      </c>
      <c r="C57" s="3"/>
      <c r="D57" s="3"/>
      <c r="E57" s="6">
        <f t="shared" si="0"/>
        <v>120026.26000000001</v>
      </c>
      <c r="J57" s="6"/>
    </row>
    <row r="58" spans="1:10">
      <c r="A58" s="7">
        <v>46058</v>
      </c>
      <c r="B58" s="2" t="s">
        <v>187</v>
      </c>
      <c r="C58" s="3"/>
      <c r="D58" s="3">
        <v>30000</v>
      </c>
      <c r="E58" s="6">
        <f t="shared" si="0"/>
        <v>150026.26</v>
      </c>
      <c r="J58" s="6"/>
    </row>
    <row r="59" spans="1:10">
      <c r="A59" s="7">
        <v>46059</v>
      </c>
      <c r="B59" s="2" t="s">
        <v>133</v>
      </c>
      <c r="C59" s="3">
        <v>8500</v>
      </c>
      <c r="D59" s="3"/>
      <c r="E59" s="6">
        <f t="shared" si="0"/>
        <v>141526.26</v>
      </c>
      <c r="J59" s="6"/>
    </row>
    <row r="60" spans="1:10">
      <c r="A60" s="7">
        <v>46059</v>
      </c>
      <c r="B60" s="2" t="s">
        <v>168</v>
      </c>
      <c r="C60" s="3">
        <v>126000</v>
      </c>
      <c r="D60" s="3"/>
      <c r="E60" s="6">
        <f t="shared" si="0"/>
        <v>15526.260000000009</v>
      </c>
      <c r="J60" s="6"/>
    </row>
    <row r="61" spans="1:10">
      <c r="A61" s="7">
        <v>46059</v>
      </c>
      <c r="B61" s="2" t="s">
        <v>144</v>
      </c>
      <c r="C61" s="3"/>
      <c r="D61" s="3">
        <v>670000</v>
      </c>
      <c r="E61" s="6">
        <f t="shared" si="0"/>
        <v>685526.26</v>
      </c>
      <c r="J61" s="6"/>
    </row>
    <row r="62" spans="1:10">
      <c r="A62" s="7">
        <v>46059</v>
      </c>
      <c r="B62" s="2" t="s">
        <v>188</v>
      </c>
      <c r="C62" s="3"/>
      <c r="D62" s="3"/>
      <c r="E62" s="6">
        <f t="shared" si="0"/>
        <v>685526.26</v>
      </c>
      <c r="J62" s="6"/>
    </row>
    <row r="63" spans="1:10">
      <c r="A63" s="7">
        <v>46059</v>
      </c>
      <c r="B63" s="2" t="s">
        <v>189</v>
      </c>
      <c r="C63" s="3"/>
      <c r="D63" s="3"/>
      <c r="E63" s="6">
        <f t="shared" si="0"/>
        <v>685526.26</v>
      </c>
      <c r="J63" s="6"/>
    </row>
    <row r="64" spans="1:10">
      <c r="A64" s="7">
        <v>46059</v>
      </c>
      <c r="B64" s="2" t="s">
        <v>190</v>
      </c>
      <c r="C64" s="3"/>
      <c r="D64" s="3"/>
      <c r="E64" s="6">
        <f t="shared" si="0"/>
        <v>685526.26</v>
      </c>
      <c r="J64" s="6"/>
    </row>
    <row r="65" spans="1:10">
      <c r="A65" s="7">
        <v>46060</v>
      </c>
      <c r="B65" s="2" t="s">
        <v>169</v>
      </c>
      <c r="C65" s="3">
        <v>220000</v>
      </c>
      <c r="D65" s="3"/>
      <c r="E65" s="6">
        <f t="shared" si="0"/>
        <v>465526.26</v>
      </c>
      <c r="J65" s="6"/>
    </row>
    <row r="66" spans="1:10">
      <c r="A66" s="7">
        <v>46062</v>
      </c>
      <c r="B66" s="2" t="s">
        <v>160</v>
      </c>
      <c r="C66" s="3">
        <v>10000</v>
      </c>
      <c r="D66" s="3"/>
      <c r="E66" s="6">
        <f t="shared" si="0"/>
        <v>455526.26</v>
      </c>
      <c r="J66" s="6"/>
    </row>
    <row r="67" spans="1:10">
      <c r="A67" s="7">
        <v>46062</v>
      </c>
      <c r="B67" s="2" t="s">
        <v>191</v>
      </c>
      <c r="C67" s="3"/>
      <c r="D67" s="3"/>
      <c r="E67" s="6">
        <f t="shared" si="0"/>
        <v>455526.26</v>
      </c>
      <c r="J67" s="6"/>
    </row>
    <row r="68" spans="1:10">
      <c r="A68" s="7">
        <v>46063</v>
      </c>
      <c r="B68" s="2" t="s">
        <v>151</v>
      </c>
      <c r="C68" s="3">
        <v>4290</v>
      </c>
      <c r="D68" s="3"/>
      <c r="E68" s="6">
        <f t="shared" si="0"/>
        <v>451236.26</v>
      </c>
      <c r="J68" s="6"/>
    </row>
    <row r="69" spans="1:10">
      <c r="A69" s="7">
        <v>46064</v>
      </c>
      <c r="B69" s="2" t="s">
        <v>151</v>
      </c>
      <c r="C69" s="3">
        <v>2890</v>
      </c>
      <c r="D69" s="3"/>
      <c r="E69" s="6">
        <f t="shared" si="0"/>
        <v>448346.26</v>
      </c>
      <c r="J69" s="6"/>
    </row>
    <row r="70" spans="1:10">
      <c r="A70" s="7">
        <v>46065</v>
      </c>
      <c r="B70" s="2" t="s">
        <v>151</v>
      </c>
      <c r="C70" s="3">
        <v>3340</v>
      </c>
      <c r="D70" s="3"/>
      <c r="E70" s="6">
        <f t="shared" si="0"/>
        <v>445006.26</v>
      </c>
      <c r="J70" s="6"/>
    </row>
    <row r="71" spans="1:10">
      <c r="A71" s="7">
        <v>46066</v>
      </c>
      <c r="B71" s="2" t="s">
        <v>151</v>
      </c>
      <c r="C71" s="3">
        <v>3090</v>
      </c>
      <c r="D71" s="3"/>
      <c r="E71" s="6">
        <f t="shared" si="0"/>
        <v>441916.26</v>
      </c>
      <c r="J71" s="6"/>
    </row>
    <row r="72" spans="1:10">
      <c r="A72" s="7">
        <v>46069</v>
      </c>
      <c r="B72" s="2" t="s">
        <v>7</v>
      </c>
      <c r="C72" s="3">
        <v>100000</v>
      </c>
      <c r="D72" s="3"/>
      <c r="E72" s="6">
        <f t="shared" si="0"/>
        <v>341916.26</v>
      </c>
      <c r="J72" s="6"/>
    </row>
    <row r="73" spans="1:10">
      <c r="A73" s="7">
        <v>46069</v>
      </c>
      <c r="B73" s="2" t="s">
        <v>192</v>
      </c>
      <c r="C73" s="3">
        <v>10000</v>
      </c>
      <c r="D73" s="3"/>
      <c r="E73" s="6">
        <f t="shared" si="0"/>
        <v>331916.26</v>
      </c>
      <c r="J73" s="6"/>
    </row>
    <row r="74" spans="1:10">
      <c r="A74" s="7">
        <v>46071</v>
      </c>
      <c r="B74" s="2" t="s">
        <v>151</v>
      </c>
      <c r="C74" s="3">
        <v>2023</v>
      </c>
      <c r="D74" s="3"/>
      <c r="E74" s="6">
        <f t="shared" si="0"/>
        <v>329893.26</v>
      </c>
      <c r="J74" s="6"/>
    </row>
    <row r="75" spans="1:10">
      <c r="A75" s="7">
        <v>46071</v>
      </c>
      <c r="B75" s="2" t="s">
        <v>193</v>
      </c>
      <c r="C75" s="3">
        <v>26000</v>
      </c>
      <c r="D75" s="3"/>
      <c r="E75" s="6">
        <f t="shared" si="0"/>
        <v>303893.26</v>
      </c>
      <c r="J75" s="6"/>
    </row>
    <row r="76" spans="1:10">
      <c r="A76" s="7">
        <v>46071</v>
      </c>
      <c r="B76" s="2" t="s">
        <v>160</v>
      </c>
      <c r="C76" s="3">
        <v>10000</v>
      </c>
      <c r="D76" s="3"/>
      <c r="E76" s="6">
        <f t="shared" si="0"/>
        <v>293893.26</v>
      </c>
      <c r="J76" s="6"/>
    </row>
    <row r="77" spans="1:10">
      <c r="A77" s="7">
        <v>46072</v>
      </c>
      <c r="B77" s="2" t="s">
        <v>194</v>
      </c>
      <c r="C77" s="3">
        <v>56000</v>
      </c>
      <c r="D77" s="3"/>
      <c r="E77" s="6">
        <f t="shared" si="0"/>
        <v>237893.26</v>
      </c>
      <c r="J77" s="6"/>
    </row>
    <row r="78" spans="1:10">
      <c r="A78" s="7">
        <v>46072</v>
      </c>
      <c r="B78" s="2" t="s">
        <v>195</v>
      </c>
      <c r="C78" s="3">
        <v>82000</v>
      </c>
      <c r="D78" s="3"/>
      <c r="E78" s="6">
        <f t="shared" si="0"/>
        <v>155893.26</v>
      </c>
      <c r="J78" s="6"/>
    </row>
    <row r="79" spans="1:10">
      <c r="A79" s="7">
        <v>46072</v>
      </c>
      <c r="B79" s="2" t="s">
        <v>193</v>
      </c>
      <c r="C79" s="3">
        <v>10800</v>
      </c>
      <c r="D79" s="3"/>
      <c r="E79" s="6">
        <f t="shared" si="0"/>
        <v>145093.26</v>
      </c>
      <c r="J79" s="6"/>
    </row>
    <row r="80" spans="1:10">
      <c r="A80" s="7">
        <v>46072</v>
      </c>
      <c r="B80" s="2" t="s">
        <v>7</v>
      </c>
      <c r="C80" s="3">
        <v>30000</v>
      </c>
      <c r="D80" s="3"/>
      <c r="E80" s="6">
        <f t="shared" si="0"/>
        <v>115093.26000000001</v>
      </c>
      <c r="J80" s="6"/>
    </row>
    <row r="81" spans="1:10">
      <c r="A81" s="7">
        <v>46071</v>
      </c>
      <c r="B81" s="2" t="s">
        <v>196</v>
      </c>
      <c r="C81" s="3"/>
      <c r="D81" s="3"/>
      <c r="E81" s="6">
        <f t="shared" si="0"/>
        <v>115093.26000000001</v>
      </c>
      <c r="J81" s="6"/>
    </row>
    <row r="82" spans="1:10">
      <c r="A82" s="7">
        <v>46073</v>
      </c>
      <c r="B82" s="2" t="s">
        <v>174</v>
      </c>
      <c r="C82" s="3">
        <v>25495.79</v>
      </c>
      <c r="D82" s="3"/>
      <c r="E82" s="6">
        <f t="shared" si="0"/>
        <v>89597.47</v>
      </c>
      <c r="J82" s="6"/>
    </row>
    <row r="83" spans="1:10">
      <c r="A83" s="7">
        <v>46073</v>
      </c>
      <c r="B83" s="2" t="s">
        <v>197</v>
      </c>
      <c r="C83" s="3">
        <v>75804.33</v>
      </c>
      <c r="D83" s="3"/>
      <c r="E83" s="6">
        <f t="shared" si="0"/>
        <v>13793.14</v>
      </c>
      <c r="J83" s="6"/>
    </row>
    <row r="84" spans="1:10">
      <c r="A84" s="7">
        <v>46073</v>
      </c>
      <c r="B84" s="2" t="s">
        <v>175</v>
      </c>
      <c r="C84" s="3">
        <v>26034.93</v>
      </c>
      <c r="D84" s="14">
        <v>13900.58</v>
      </c>
      <c r="E84" s="6">
        <f t="shared" si="0"/>
        <v>1658.7900000000009</v>
      </c>
      <c r="J84" s="6"/>
    </row>
    <row r="85" spans="1:10">
      <c r="A85" s="7">
        <v>46073</v>
      </c>
      <c r="B85" s="2" t="s">
        <v>100</v>
      </c>
      <c r="C85" s="3"/>
      <c r="D85" s="3">
        <v>600000</v>
      </c>
      <c r="E85" s="6">
        <f t="shared" si="0"/>
        <v>601658.79</v>
      </c>
      <c r="J85" s="6"/>
    </row>
    <row r="86" spans="1:10">
      <c r="A86" s="7">
        <v>46073</v>
      </c>
      <c r="B86" s="2" t="s">
        <v>198</v>
      </c>
      <c r="C86" s="3">
        <v>296360.34000000003</v>
      </c>
      <c r="D86" s="3"/>
      <c r="E86" s="6">
        <f t="shared" si="0"/>
        <v>305298.45</v>
      </c>
      <c r="J86" s="6"/>
    </row>
    <row r="87" spans="1:10">
      <c r="A87" s="7">
        <v>46074</v>
      </c>
      <c r="B87" s="2" t="s">
        <v>193</v>
      </c>
      <c r="C87" s="3">
        <v>102740</v>
      </c>
      <c r="D87" s="3"/>
      <c r="E87" s="6">
        <f t="shared" si="0"/>
        <v>202558.45</v>
      </c>
      <c r="J87" s="6"/>
    </row>
    <row r="88" spans="1:10">
      <c r="A88" s="7">
        <v>46076</v>
      </c>
      <c r="B88" s="2" t="s">
        <v>199</v>
      </c>
      <c r="C88" s="3">
        <v>84290.72</v>
      </c>
      <c r="D88" s="3"/>
      <c r="E88" s="6">
        <f t="shared" si="0"/>
        <v>118267.73000000001</v>
      </c>
      <c r="J88" s="6"/>
    </row>
    <row r="89" spans="1:10">
      <c r="A89" s="7">
        <v>46076</v>
      </c>
      <c r="B89" s="2" t="s">
        <v>7</v>
      </c>
      <c r="C89" s="3">
        <v>70000</v>
      </c>
      <c r="D89" s="3"/>
      <c r="E89" s="6">
        <f t="shared" si="0"/>
        <v>48267.73000000001</v>
      </c>
      <c r="J89" s="6"/>
    </row>
    <row r="90" spans="1:10">
      <c r="A90" s="7">
        <v>46076</v>
      </c>
      <c r="B90" s="2" t="s">
        <v>100</v>
      </c>
      <c r="C90" s="3"/>
      <c r="D90" s="3">
        <v>90000</v>
      </c>
      <c r="E90" s="6">
        <f t="shared" si="0"/>
        <v>138267.73000000001</v>
      </c>
      <c r="J90" s="6"/>
    </row>
    <row r="91" spans="1:10">
      <c r="A91" s="7">
        <v>46076</v>
      </c>
      <c r="B91" s="2" t="s">
        <v>148</v>
      </c>
      <c r="C91" s="3"/>
      <c r="D91" s="3">
        <v>11171.99</v>
      </c>
      <c r="E91" s="6">
        <f t="shared" si="0"/>
        <v>149439.72</v>
      </c>
      <c r="J91" s="6"/>
    </row>
    <row r="92" spans="1:10">
      <c r="A92" s="7">
        <v>46076</v>
      </c>
      <c r="B92" s="3" t="s">
        <v>200</v>
      </c>
      <c r="C92" s="3"/>
      <c r="D92" s="3">
        <v>18000</v>
      </c>
      <c r="E92" s="6">
        <f t="shared" si="0"/>
        <v>167439.72</v>
      </c>
      <c r="J92" s="6"/>
    </row>
    <row r="93" spans="1:10">
      <c r="A93" s="7">
        <v>46076</v>
      </c>
      <c r="B93" s="2" t="s">
        <v>151</v>
      </c>
      <c r="C93" s="3">
        <v>2237</v>
      </c>
      <c r="D93" s="3"/>
      <c r="E93" s="6">
        <f t="shared" si="0"/>
        <v>165202.72</v>
      </c>
      <c r="J93" s="6"/>
    </row>
    <row r="94" spans="1:10">
      <c r="A94" s="7">
        <v>46077</v>
      </c>
      <c r="B94" s="2" t="s">
        <v>193</v>
      </c>
      <c r="C94" s="3">
        <v>9000</v>
      </c>
      <c r="D94" s="3"/>
      <c r="E94" s="6">
        <f t="shared" si="0"/>
        <v>156202.72</v>
      </c>
      <c r="J94" s="6"/>
    </row>
    <row r="95" spans="1:10">
      <c r="A95" s="7">
        <v>46077</v>
      </c>
      <c r="B95" s="2" t="s">
        <v>151</v>
      </c>
      <c r="C95" s="3">
        <v>2303</v>
      </c>
      <c r="D95" s="3"/>
      <c r="E95" s="6">
        <f t="shared" si="0"/>
        <v>153899.72</v>
      </c>
      <c r="J95" s="6"/>
    </row>
    <row r="96" spans="1:10">
      <c r="A96" s="7">
        <v>46078</v>
      </c>
      <c r="B96" s="2" t="s">
        <v>201</v>
      </c>
      <c r="C96" s="3">
        <v>50000</v>
      </c>
      <c r="D96" s="3"/>
      <c r="E96" s="6">
        <f t="shared" si="0"/>
        <v>103899.72</v>
      </c>
      <c r="J96" s="6"/>
    </row>
    <row r="97" spans="1:10">
      <c r="A97" s="7">
        <v>46079</v>
      </c>
      <c r="B97" s="2" t="s">
        <v>151</v>
      </c>
      <c r="C97" s="3">
        <v>2233</v>
      </c>
      <c r="D97" s="3"/>
      <c r="E97" s="6">
        <f t="shared" si="0"/>
        <v>101666.72</v>
      </c>
      <c r="J97" s="6"/>
    </row>
    <row r="98" spans="1:10">
      <c r="A98" s="7">
        <v>46079</v>
      </c>
      <c r="B98" s="2" t="s">
        <v>202</v>
      </c>
      <c r="C98" s="3">
        <v>18000</v>
      </c>
      <c r="D98" s="3"/>
      <c r="E98" s="6">
        <f t="shared" si="0"/>
        <v>83666.720000000001</v>
      </c>
      <c r="J98" s="6"/>
    </row>
    <row r="99" spans="1:10">
      <c r="A99" s="7">
        <v>46080</v>
      </c>
      <c r="B99" s="2" t="s">
        <v>131</v>
      </c>
      <c r="C99" s="3">
        <v>69900</v>
      </c>
      <c r="D99" s="3"/>
      <c r="E99" s="6">
        <f t="shared" si="0"/>
        <v>13766.720000000001</v>
      </c>
      <c r="J99" s="6"/>
    </row>
    <row r="100" spans="1:10">
      <c r="A100" s="7">
        <v>46081</v>
      </c>
      <c r="B100" s="2" t="s">
        <v>203</v>
      </c>
      <c r="C100" s="3"/>
      <c r="D100" s="3"/>
      <c r="E100" s="6">
        <f t="shared" si="0"/>
        <v>13766.720000000001</v>
      </c>
      <c r="J100" s="6"/>
    </row>
    <row r="101" spans="1:10">
      <c r="A101" s="7">
        <v>46082</v>
      </c>
      <c r="B101" s="2" t="s">
        <v>204</v>
      </c>
      <c r="C101" s="3"/>
      <c r="D101" s="3"/>
      <c r="E101" s="6">
        <f t="shared" si="0"/>
        <v>13766.720000000001</v>
      </c>
      <c r="J101" s="6"/>
    </row>
    <row r="102" spans="1:10">
      <c r="A102" s="7">
        <v>46082</v>
      </c>
      <c r="B102" s="2" t="s">
        <v>205</v>
      </c>
      <c r="C102" s="3"/>
      <c r="D102" s="3"/>
      <c r="E102" s="6">
        <f t="shared" si="0"/>
        <v>13766.720000000001</v>
      </c>
      <c r="J102" s="6"/>
    </row>
    <row r="103" spans="1:10">
      <c r="A103" s="7">
        <v>46082</v>
      </c>
      <c r="B103" s="2" t="s">
        <v>206</v>
      </c>
      <c r="C103" s="3"/>
      <c r="D103" s="3"/>
      <c r="E103" s="6">
        <f t="shared" si="0"/>
        <v>13766.720000000001</v>
      </c>
      <c r="J103" s="6"/>
    </row>
    <row r="104" spans="1:10">
      <c r="A104" s="7">
        <v>46082</v>
      </c>
      <c r="B104" s="2" t="s">
        <v>207</v>
      </c>
      <c r="C104" s="3"/>
      <c r="D104" s="3"/>
      <c r="E104" s="6">
        <f t="shared" si="0"/>
        <v>13766.720000000001</v>
      </c>
      <c r="J104" s="6"/>
    </row>
    <row r="105" spans="1:10">
      <c r="A105" s="7">
        <v>46082</v>
      </c>
      <c r="B105" s="2" t="s">
        <v>57</v>
      </c>
      <c r="C105" s="3"/>
      <c r="D105" s="3">
        <v>100000</v>
      </c>
      <c r="E105" s="6">
        <f t="shared" si="0"/>
        <v>113766.72</v>
      </c>
      <c r="J105" s="6"/>
    </row>
    <row r="106" spans="1:10">
      <c r="A106" s="7">
        <v>46083</v>
      </c>
      <c r="B106" s="2" t="s">
        <v>208</v>
      </c>
      <c r="C106" s="3"/>
      <c r="D106" s="3"/>
      <c r="E106" s="6">
        <f t="shared" si="0"/>
        <v>113766.72</v>
      </c>
      <c r="J106" s="6"/>
    </row>
    <row r="107" spans="1:10">
      <c r="A107" s="7">
        <v>46083</v>
      </c>
      <c r="B107" s="2" t="s">
        <v>160</v>
      </c>
      <c r="C107" s="3">
        <v>10000</v>
      </c>
      <c r="D107" s="3"/>
      <c r="E107" s="6">
        <f t="shared" si="0"/>
        <v>103766.72</v>
      </c>
      <c r="J107" s="6"/>
    </row>
    <row r="108" spans="1:10">
      <c r="A108" s="7">
        <v>46083</v>
      </c>
      <c r="B108" s="2" t="s">
        <v>209</v>
      </c>
      <c r="C108" s="3"/>
      <c r="D108" s="3">
        <v>360000</v>
      </c>
      <c r="E108" s="6">
        <f t="shared" si="0"/>
        <v>463766.72</v>
      </c>
      <c r="J108" s="6"/>
    </row>
    <row r="109" spans="1:10">
      <c r="A109" s="7">
        <v>46083</v>
      </c>
      <c r="B109" s="2" t="s">
        <v>151</v>
      </c>
      <c r="C109" s="3">
        <v>3290</v>
      </c>
      <c r="D109" s="3"/>
      <c r="E109" s="6">
        <f t="shared" si="0"/>
        <v>460476.72</v>
      </c>
      <c r="J109" s="6"/>
    </row>
    <row r="110" spans="1:10">
      <c r="A110" s="7">
        <v>46084</v>
      </c>
      <c r="B110" s="2" t="s">
        <v>151</v>
      </c>
      <c r="C110" s="3">
        <v>3290</v>
      </c>
      <c r="D110" s="3"/>
      <c r="E110" s="6">
        <f t="shared" si="0"/>
        <v>457186.72</v>
      </c>
      <c r="J110" s="6"/>
    </row>
    <row r="111" spans="1:10">
      <c r="A111" s="7">
        <v>46084</v>
      </c>
      <c r="B111" s="2" t="s">
        <v>178</v>
      </c>
      <c r="C111" s="3">
        <v>54724</v>
      </c>
      <c r="D111" s="3"/>
      <c r="E111" s="6">
        <f t="shared" si="0"/>
        <v>402462.71999999997</v>
      </c>
      <c r="J111" s="6"/>
    </row>
    <row r="112" spans="1:10">
      <c r="A112" s="7">
        <v>46084</v>
      </c>
      <c r="B112" s="2" t="s">
        <v>210</v>
      </c>
      <c r="C112" s="3"/>
      <c r="D112" s="3"/>
      <c r="E112" s="6">
        <f t="shared" si="0"/>
        <v>402462.71999999997</v>
      </c>
      <c r="J112" s="6"/>
    </row>
    <row r="113" spans="1:10">
      <c r="A113" s="7">
        <v>46085</v>
      </c>
      <c r="B113" s="2" t="s">
        <v>168</v>
      </c>
      <c r="C113" s="3">
        <v>144000</v>
      </c>
      <c r="D113" s="3"/>
      <c r="E113" s="6">
        <f t="shared" si="0"/>
        <v>258462.71999999997</v>
      </c>
      <c r="J113" s="6"/>
    </row>
    <row r="114" spans="1:10">
      <c r="A114" s="7">
        <v>46085</v>
      </c>
      <c r="B114" s="2" t="s">
        <v>211</v>
      </c>
      <c r="C114" s="3"/>
      <c r="D114" s="3"/>
      <c r="E114" s="6">
        <f t="shared" si="0"/>
        <v>258462.71999999997</v>
      </c>
      <c r="J114" s="6"/>
    </row>
    <row r="115" spans="1:10">
      <c r="A115" s="7">
        <v>46085</v>
      </c>
      <c r="B115" s="2" t="s">
        <v>133</v>
      </c>
      <c r="C115" s="3">
        <v>137500</v>
      </c>
      <c r="D115" s="3"/>
      <c r="E115" s="6">
        <f t="shared" si="0"/>
        <v>120962.71999999997</v>
      </c>
      <c r="J115" s="6"/>
    </row>
    <row r="116" spans="1:10">
      <c r="A116" s="7">
        <v>46086</v>
      </c>
      <c r="B116" s="2" t="s">
        <v>212</v>
      </c>
      <c r="C116" s="3"/>
      <c r="D116" s="3"/>
      <c r="E116" s="6">
        <f t="shared" si="0"/>
        <v>120962.71999999997</v>
      </c>
      <c r="J116" s="6"/>
    </row>
    <row r="117" spans="1:10">
      <c r="A117" s="7">
        <v>46086</v>
      </c>
      <c r="B117" s="2" t="s">
        <v>160</v>
      </c>
      <c r="C117" s="3">
        <v>10000</v>
      </c>
      <c r="D117" s="3"/>
      <c r="E117" s="6">
        <f t="shared" si="0"/>
        <v>110962.71999999997</v>
      </c>
      <c r="J117" s="6"/>
    </row>
    <row r="118" spans="1:10">
      <c r="A118" s="7">
        <v>46087</v>
      </c>
      <c r="B118" s="2" t="s">
        <v>144</v>
      </c>
      <c r="C118" s="3"/>
      <c r="D118" s="3">
        <v>670000</v>
      </c>
      <c r="E118" s="6">
        <f t="shared" si="0"/>
        <v>780962.72</v>
      </c>
      <c r="J118" s="6"/>
    </row>
    <row r="119" spans="1:10">
      <c r="A119" s="7">
        <v>46087</v>
      </c>
      <c r="B119" s="2" t="s">
        <v>155</v>
      </c>
      <c r="C119" s="3">
        <v>90342.38</v>
      </c>
      <c r="D119" s="3"/>
      <c r="E119" s="6">
        <f t="shared" si="0"/>
        <v>690620.34</v>
      </c>
      <c r="J119" s="6"/>
    </row>
    <row r="120" spans="1:10">
      <c r="A120" s="7">
        <v>46087</v>
      </c>
      <c r="B120" s="2" t="s">
        <v>213</v>
      </c>
      <c r="C120" s="3"/>
      <c r="D120" s="3"/>
      <c r="E120" s="6">
        <f t="shared" si="0"/>
        <v>690620.34</v>
      </c>
      <c r="J120" s="6"/>
    </row>
    <row r="121" spans="1:10">
      <c r="A121" s="7">
        <v>46090</v>
      </c>
      <c r="B121" s="2" t="s">
        <v>214</v>
      </c>
      <c r="C121" s="3">
        <v>586401.81000000006</v>
      </c>
      <c r="D121" s="3"/>
      <c r="E121" s="6">
        <f t="shared" si="0"/>
        <v>104218.52999999991</v>
      </c>
      <c r="J121" s="6"/>
    </row>
    <row r="122" spans="1:10">
      <c r="A122" s="7">
        <v>46090</v>
      </c>
      <c r="B122" s="2" t="s">
        <v>215</v>
      </c>
      <c r="C122" s="3"/>
      <c r="D122" s="3"/>
      <c r="E122" s="6">
        <f t="shared" si="0"/>
        <v>104218.52999999991</v>
      </c>
      <c r="J122" s="6"/>
    </row>
    <row r="123" spans="1:10">
      <c r="A123" s="7">
        <v>46090</v>
      </c>
      <c r="B123" s="2" t="s">
        <v>216</v>
      </c>
      <c r="C123" s="3"/>
      <c r="D123" s="3"/>
      <c r="E123" s="6">
        <f t="shared" si="0"/>
        <v>104218.52999999991</v>
      </c>
      <c r="J123" s="6"/>
    </row>
    <row r="124" spans="1:10">
      <c r="A124" s="7">
        <v>46090</v>
      </c>
      <c r="B124" s="2" t="s">
        <v>100</v>
      </c>
      <c r="C124" s="3"/>
      <c r="D124" s="3">
        <v>300000</v>
      </c>
      <c r="E124" s="6">
        <f t="shared" si="0"/>
        <v>404218.52999999991</v>
      </c>
      <c r="J124" s="6"/>
    </row>
    <row r="125" spans="1:10">
      <c r="A125" s="7">
        <v>46090</v>
      </c>
      <c r="B125" s="2" t="s">
        <v>217</v>
      </c>
      <c r="C125" s="3">
        <v>288661.56</v>
      </c>
      <c r="D125" s="3"/>
      <c r="E125" s="6">
        <f t="shared" si="0"/>
        <v>115556.96999999991</v>
      </c>
      <c r="J125" s="6"/>
    </row>
    <row r="126" spans="1:10">
      <c r="A126" s="7">
        <v>46090</v>
      </c>
      <c r="B126" s="2" t="s">
        <v>7</v>
      </c>
      <c r="C126" s="3">
        <v>5000</v>
      </c>
      <c r="D126" s="3"/>
      <c r="E126" s="6">
        <f t="shared" si="0"/>
        <v>110556.96999999991</v>
      </c>
      <c r="J126" s="6"/>
    </row>
    <row r="127" spans="1:10">
      <c r="A127" s="7">
        <v>46090</v>
      </c>
      <c r="B127" s="2" t="s">
        <v>100</v>
      </c>
      <c r="C127" s="3"/>
      <c r="D127" s="3">
        <v>300000</v>
      </c>
      <c r="E127" s="6">
        <f t="shared" si="0"/>
        <v>410556.96999999991</v>
      </c>
      <c r="J127" s="6"/>
    </row>
    <row r="128" spans="1:10">
      <c r="A128" s="7">
        <v>46090</v>
      </c>
      <c r="B128" s="2" t="s">
        <v>151</v>
      </c>
      <c r="C128" s="3">
        <v>3290</v>
      </c>
      <c r="D128" s="3"/>
      <c r="E128" s="6">
        <f t="shared" si="0"/>
        <v>407266.96999999991</v>
      </c>
      <c r="J128" s="6"/>
    </row>
    <row r="129" spans="1:10">
      <c r="A129" s="7">
        <v>46091</v>
      </c>
      <c r="B129" s="2" t="s">
        <v>151</v>
      </c>
      <c r="C129" s="3">
        <v>3339</v>
      </c>
      <c r="D129" s="3"/>
      <c r="E129" s="6">
        <f t="shared" si="0"/>
        <v>403927.96999999991</v>
      </c>
      <c r="J129" s="6"/>
    </row>
    <row r="130" spans="1:10">
      <c r="A130" s="7">
        <v>46091</v>
      </c>
      <c r="B130" s="2" t="s">
        <v>160</v>
      </c>
      <c r="C130" s="3">
        <v>10000</v>
      </c>
      <c r="D130" s="3"/>
      <c r="E130" s="6">
        <f t="shared" si="0"/>
        <v>393927.96999999991</v>
      </c>
      <c r="J130" s="6"/>
    </row>
    <row r="131" spans="1:10">
      <c r="A131" s="7">
        <v>46091</v>
      </c>
      <c r="B131" s="2" t="s">
        <v>218</v>
      </c>
      <c r="C131" s="3"/>
      <c r="D131" s="3"/>
      <c r="E131" s="6">
        <f t="shared" si="0"/>
        <v>393927.96999999991</v>
      </c>
      <c r="J131" s="6"/>
    </row>
    <row r="132" spans="1:10">
      <c r="A132" s="7">
        <v>46092</v>
      </c>
      <c r="B132" s="2" t="s">
        <v>145</v>
      </c>
      <c r="C132" s="3"/>
      <c r="D132" s="3">
        <v>315000</v>
      </c>
      <c r="E132" s="6">
        <f t="shared" si="0"/>
        <v>708927.97</v>
      </c>
      <c r="J132" s="6"/>
    </row>
    <row r="133" spans="1:10">
      <c r="A133" s="7">
        <v>46093</v>
      </c>
      <c r="B133" s="2" t="s">
        <v>130</v>
      </c>
      <c r="C133" s="3">
        <v>600000</v>
      </c>
      <c r="D133" s="3"/>
      <c r="E133" s="6">
        <f t="shared" si="0"/>
        <v>108927.96999999997</v>
      </c>
      <c r="J133" s="6"/>
    </row>
    <row r="134" spans="1:10">
      <c r="A134" s="7">
        <v>46094</v>
      </c>
      <c r="B134" s="2" t="s">
        <v>151</v>
      </c>
      <c r="C134" s="3">
        <v>2831</v>
      </c>
      <c r="D134" s="3"/>
      <c r="E134" s="6">
        <f t="shared" si="0"/>
        <v>106096.96999999997</v>
      </c>
      <c r="J134" s="6"/>
    </row>
    <row r="135" spans="1:10">
      <c r="A135" s="7">
        <v>46094</v>
      </c>
      <c r="B135" s="2" t="s">
        <v>151</v>
      </c>
      <c r="C135" s="3">
        <v>3490</v>
      </c>
      <c r="D135" s="3"/>
      <c r="E135" s="6">
        <f t="shared" si="0"/>
        <v>102606.96999999997</v>
      </c>
      <c r="J135" s="6"/>
    </row>
    <row r="136" spans="1:10">
      <c r="A136" s="7">
        <v>46097</v>
      </c>
      <c r="B136" s="2" t="s">
        <v>151</v>
      </c>
      <c r="C136" s="3">
        <v>3490</v>
      </c>
      <c r="D136" s="3"/>
      <c r="E136" s="6">
        <f t="shared" si="0"/>
        <v>99116.969999999972</v>
      </c>
      <c r="J136" s="6"/>
    </row>
    <row r="137" spans="1:10">
      <c r="A137" s="7">
        <v>46097</v>
      </c>
      <c r="B137" s="2" t="s">
        <v>151</v>
      </c>
      <c r="C137" s="3">
        <v>3390</v>
      </c>
      <c r="D137" s="3"/>
      <c r="E137" s="6">
        <f t="shared" si="0"/>
        <v>95726.969999999972</v>
      </c>
      <c r="J137" s="6"/>
    </row>
    <row r="138" spans="1:10">
      <c r="A138" s="7">
        <v>46098</v>
      </c>
      <c r="B138" s="2" t="s">
        <v>131</v>
      </c>
      <c r="C138" s="3">
        <v>69900</v>
      </c>
      <c r="D138" s="3"/>
      <c r="E138" s="6">
        <f t="shared" si="0"/>
        <v>25826.969999999972</v>
      </c>
      <c r="J138" s="6"/>
    </row>
    <row r="139" spans="1:10">
      <c r="A139" s="7">
        <v>46098</v>
      </c>
      <c r="B139" s="2" t="s">
        <v>57</v>
      </c>
      <c r="C139" s="3"/>
      <c r="D139" s="3">
        <v>145000</v>
      </c>
      <c r="E139" s="6">
        <f t="shared" si="0"/>
        <v>170826.96999999997</v>
      </c>
      <c r="J139" s="6"/>
    </row>
    <row r="140" spans="1:10">
      <c r="A140" s="7">
        <v>46099</v>
      </c>
      <c r="B140" s="2" t="s">
        <v>219</v>
      </c>
      <c r="C140" s="3"/>
      <c r="D140" s="3"/>
      <c r="E140" s="6">
        <f t="shared" si="0"/>
        <v>170826.96999999997</v>
      </c>
      <c r="J140" s="6"/>
    </row>
    <row r="141" spans="1:10">
      <c r="A141" s="7">
        <v>46101</v>
      </c>
      <c r="B141" s="2" t="s">
        <v>220</v>
      </c>
      <c r="C141" s="3">
        <v>104727.21</v>
      </c>
      <c r="D141" s="3"/>
      <c r="E141" s="6">
        <f t="shared" si="0"/>
        <v>66099.759999999966</v>
      </c>
      <c r="J141" s="6"/>
    </row>
    <row r="142" spans="1:10">
      <c r="A142" s="7">
        <v>46101</v>
      </c>
      <c r="B142" s="2" t="s">
        <v>174</v>
      </c>
      <c r="C142" s="3">
        <v>25495.79</v>
      </c>
      <c r="D142" s="3"/>
      <c r="E142" s="6">
        <f t="shared" si="0"/>
        <v>40603.969999999965</v>
      </c>
      <c r="J142" s="6"/>
    </row>
    <row r="143" spans="1:10">
      <c r="A143" s="7">
        <v>46099</v>
      </c>
      <c r="B143" s="2" t="s">
        <v>221</v>
      </c>
      <c r="C143" s="3"/>
      <c r="D143" s="3">
        <v>400000</v>
      </c>
      <c r="E143" s="6">
        <f t="shared" si="0"/>
        <v>440603.97</v>
      </c>
      <c r="J143" s="6"/>
    </row>
    <row r="144" spans="1:10">
      <c r="A144" s="7">
        <v>46099</v>
      </c>
      <c r="B144" s="2" t="s">
        <v>222</v>
      </c>
      <c r="C144" s="3">
        <v>40334.339999999997</v>
      </c>
      <c r="D144" s="3"/>
      <c r="E144" s="6">
        <f t="shared" si="0"/>
        <v>400269.63</v>
      </c>
      <c r="J144" s="6"/>
    </row>
    <row r="145" spans="1:10">
      <c r="A145" s="7">
        <v>46102</v>
      </c>
      <c r="B145" s="2" t="s">
        <v>223</v>
      </c>
      <c r="C145" s="3">
        <v>104727.21</v>
      </c>
      <c r="D145" s="3"/>
      <c r="E145" s="6">
        <f t="shared" si="0"/>
        <v>295542.42</v>
      </c>
      <c r="J145" s="6"/>
    </row>
    <row r="146" spans="1:10">
      <c r="A146" s="7">
        <v>46102</v>
      </c>
      <c r="B146" s="2" t="s">
        <v>223</v>
      </c>
      <c r="C146" s="3">
        <v>25495.79</v>
      </c>
      <c r="D146" s="3"/>
      <c r="E146" s="6">
        <f t="shared" si="0"/>
        <v>270046.63</v>
      </c>
      <c r="J146" s="6"/>
    </row>
    <row r="147" spans="1:10">
      <c r="A147" s="7">
        <v>46105</v>
      </c>
      <c r="B147" s="2" t="s">
        <v>174</v>
      </c>
      <c r="C147" s="3">
        <v>44638.07</v>
      </c>
      <c r="D147" s="3"/>
      <c r="E147" s="6">
        <f t="shared" si="0"/>
        <v>225408.56</v>
      </c>
      <c r="J147" s="6"/>
    </row>
    <row r="148" spans="1:10">
      <c r="A148" s="7">
        <v>46106</v>
      </c>
      <c r="B148" s="2" t="s">
        <v>175</v>
      </c>
      <c r="C148" s="3">
        <v>22667.07</v>
      </c>
      <c r="D148" s="3"/>
      <c r="E148" s="6">
        <f t="shared" si="0"/>
        <v>202741.49</v>
      </c>
      <c r="J148" s="6"/>
    </row>
    <row r="149" spans="1:10">
      <c r="A149" s="7">
        <v>46107</v>
      </c>
      <c r="B149" s="2" t="s">
        <v>224</v>
      </c>
      <c r="C149" s="3">
        <v>84290.72</v>
      </c>
      <c r="D149" s="3"/>
      <c r="E149" s="6">
        <f t="shared" si="0"/>
        <v>118450.76999999999</v>
      </c>
      <c r="J149" s="6"/>
    </row>
    <row r="150" spans="1:10" ht="14.25" customHeight="1">
      <c r="A150" s="7">
        <v>46107</v>
      </c>
      <c r="B150" s="2" t="s">
        <v>225</v>
      </c>
      <c r="C150" s="3"/>
      <c r="D150" s="3"/>
      <c r="E150" s="6">
        <f t="shared" si="0"/>
        <v>118450.76999999999</v>
      </c>
      <c r="J150" s="6"/>
    </row>
    <row r="151" spans="1:10" ht="14.25" customHeight="1">
      <c r="A151" s="7">
        <v>46104</v>
      </c>
      <c r="B151" s="2" t="s">
        <v>226</v>
      </c>
      <c r="C151" s="3">
        <v>5000</v>
      </c>
      <c r="D151" s="3"/>
      <c r="E151" s="6">
        <f t="shared" si="0"/>
        <v>113450.76999999999</v>
      </c>
      <c r="J151" s="6"/>
    </row>
    <row r="152" spans="1:10" ht="14.25" customHeight="1">
      <c r="A152" s="7">
        <v>46106</v>
      </c>
      <c r="B152" s="2" t="s">
        <v>227</v>
      </c>
      <c r="C152" s="3">
        <v>17200</v>
      </c>
      <c r="D152" s="3"/>
      <c r="E152" s="6">
        <f t="shared" si="0"/>
        <v>96250.76999999999</v>
      </c>
      <c r="J152" s="6"/>
    </row>
    <row r="153" spans="1:10" ht="14.25" customHeight="1">
      <c r="A153" s="7">
        <v>46107</v>
      </c>
      <c r="B153" s="2" t="s">
        <v>160</v>
      </c>
      <c r="C153" s="3">
        <v>10000</v>
      </c>
      <c r="D153" s="3"/>
      <c r="E153" s="6">
        <f t="shared" si="0"/>
        <v>86250.76999999999</v>
      </c>
      <c r="J153" s="6"/>
    </row>
    <row r="154" spans="1:10" ht="14.25" customHeight="1">
      <c r="A154" s="7">
        <v>46107</v>
      </c>
      <c r="B154" s="2" t="s">
        <v>160</v>
      </c>
      <c r="C154" s="3">
        <v>5000</v>
      </c>
      <c r="D154" s="3"/>
      <c r="E154" s="6">
        <f t="shared" si="0"/>
        <v>81250.76999999999</v>
      </c>
      <c r="J154" s="6"/>
    </row>
    <row r="155" spans="1:10" ht="14.25" customHeight="1">
      <c r="A155" s="7">
        <v>46107</v>
      </c>
      <c r="B155" s="2" t="s">
        <v>151</v>
      </c>
      <c r="C155" s="3">
        <v>3390</v>
      </c>
      <c r="D155" s="3"/>
      <c r="E155" s="6">
        <f t="shared" si="0"/>
        <v>77860.76999999999</v>
      </c>
      <c r="J155" s="6"/>
    </row>
    <row r="156" spans="1:10" ht="14.25" customHeight="1">
      <c r="A156" s="7">
        <v>46107</v>
      </c>
      <c r="B156" s="2" t="s">
        <v>202</v>
      </c>
      <c r="C156" s="3">
        <v>46000</v>
      </c>
      <c r="D156" s="3"/>
      <c r="E156" s="6">
        <f t="shared" si="0"/>
        <v>31860.76999999999</v>
      </c>
      <c r="J156" s="6"/>
    </row>
    <row r="157" spans="1:10" ht="14.25" customHeight="1">
      <c r="A157" s="7">
        <v>46108</v>
      </c>
      <c r="B157" s="2" t="s">
        <v>178</v>
      </c>
      <c r="C157" s="3">
        <v>23092.85</v>
      </c>
      <c r="D157" s="3"/>
      <c r="E157" s="6">
        <f t="shared" si="0"/>
        <v>8767.919999999991</v>
      </c>
      <c r="J157" s="6"/>
    </row>
    <row r="158" spans="1:10" ht="14.25" customHeight="1">
      <c r="A158" s="7">
        <v>46108</v>
      </c>
      <c r="B158" s="2" t="s">
        <v>163</v>
      </c>
      <c r="C158" s="3"/>
      <c r="D158" s="3">
        <v>200000</v>
      </c>
      <c r="E158" s="6">
        <f t="shared" si="0"/>
        <v>208767.91999999998</v>
      </c>
      <c r="J158" s="6"/>
    </row>
    <row r="159" spans="1:10" ht="14.25" customHeight="1">
      <c r="A159" s="7">
        <v>46108</v>
      </c>
      <c r="B159" s="2" t="s">
        <v>228</v>
      </c>
      <c r="C159" s="3">
        <v>77000</v>
      </c>
      <c r="D159" s="3"/>
      <c r="E159" s="6">
        <f t="shared" si="0"/>
        <v>131767.91999999998</v>
      </c>
      <c r="J159" s="6"/>
    </row>
    <row r="160" spans="1:10" ht="14.25" customHeight="1">
      <c r="A160" s="7">
        <v>46109</v>
      </c>
      <c r="B160" s="2" t="s">
        <v>130</v>
      </c>
      <c r="C160" s="3">
        <v>15000</v>
      </c>
      <c r="D160" s="3"/>
      <c r="E160" s="6">
        <f t="shared" si="0"/>
        <v>116767.91999999998</v>
      </c>
      <c r="J160" s="6"/>
    </row>
    <row r="161" spans="1:10" ht="14.25" customHeight="1">
      <c r="A161" s="7">
        <v>46109</v>
      </c>
      <c r="B161" s="2" t="s">
        <v>229</v>
      </c>
      <c r="C161" s="3">
        <v>7700</v>
      </c>
      <c r="D161" s="3"/>
      <c r="E161" s="6">
        <f t="shared" si="0"/>
        <v>109067.91999999998</v>
      </c>
      <c r="J161" s="6"/>
    </row>
    <row r="162" spans="1:10" ht="14.25" customHeight="1">
      <c r="A162" s="7">
        <v>46109</v>
      </c>
      <c r="B162" s="2" t="s">
        <v>229</v>
      </c>
      <c r="C162" s="3">
        <v>7700</v>
      </c>
      <c r="D162" s="3"/>
      <c r="E162" s="6">
        <f t="shared" si="0"/>
        <v>101367.91999999998</v>
      </c>
      <c r="J162" s="6"/>
    </row>
    <row r="163" spans="1:10" ht="14.25" customHeight="1">
      <c r="A163" s="7">
        <v>46109</v>
      </c>
      <c r="B163" s="2" t="s">
        <v>130</v>
      </c>
      <c r="C163" s="3">
        <v>80000</v>
      </c>
      <c r="D163" s="3"/>
      <c r="E163" s="6">
        <f t="shared" si="0"/>
        <v>21367.919999999984</v>
      </c>
      <c r="J163" s="6"/>
    </row>
    <row r="164" spans="1:10" ht="14.25" customHeight="1">
      <c r="A164" s="7">
        <v>46109</v>
      </c>
      <c r="B164" s="2" t="s">
        <v>163</v>
      </c>
      <c r="C164" s="3"/>
      <c r="D164" s="3">
        <v>150000</v>
      </c>
      <c r="E164" s="6">
        <f t="shared" si="0"/>
        <v>171367.91999999998</v>
      </c>
      <c r="J164" s="6"/>
    </row>
    <row r="165" spans="1:10" ht="14.25" customHeight="1">
      <c r="A165" s="7">
        <v>46110</v>
      </c>
      <c r="B165" s="2" t="s">
        <v>230</v>
      </c>
      <c r="C165" s="3"/>
      <c r="D165" s="3">
        <v>17000</v>
      </c>
      <c r="E165" s="6">
        <f t="shared" si="0"/>
        <v>188367.91999999998</v>
      </c>
      <c r="J165" s="6"/>
    </row>
    <row r="166" spans="1:10" ht="14.25" customHeight="1">
      <c r="A166" s="7">
        <v>46111</v>
      </c>
      <c r="B166" s="2" t="s">
        <v>133</v>
      </c>
      <c r="C166" s="3"/>
      <c r="D166" s="3">
        <v>325126</v>
      </c>
      <c r="E166" s="6">
        <f t="shared" si="0"/>
        <v>513493.92</v>
      </c>
      <c r="J166" s="6"/>
    </row>
    <row r="167" spans="1:10" ht="14.25" customHeight="1">
      <c r="A167" s="7">
        <v>46111</v>
      </c>
      <c r="B167" s="2" t="s">
        <v>151</v>
      </c>
      <c r="C167" s="3">
        <v>3290</v>
      </c>
      <c r="D167" s="3"/>
      <c r="E167" s="6">
        <f t="shared" si="0"/>
        <v>510203.92</v>
      </c>
      <c r="J167" s="6"/>
    </row>
    <row r="168" spans="1:10" ht="14.25" customHeight="1">
      <c r="A168" s="7">
        <v>46112</v>
      </c>
      <c r="B168" s="2" t="s">
        <v>231</v>
      </c>
      <c r="C168" s="3"/>
      <c r="D168" s="3">
        <v>35000</v>
      </c>
      <c r="E168" s="6">
        <f t="shared" si="0"/>
        <v>545203.91999999993</v>
      </c>
      <c r="J168" s="6"/>
    </row>
    <row r="169" spans="1:10" ht="14.25" customHeight="1">
      <c r="A169" s="7">
        <v>46112</v>
      </c>
      <c r="B169" s="2" t="s">
        <v>151</v>
      </c>
      <c r="C169" s="3">
        <v>3394</v>
      </c>
      <c r="D169" s="3"/>
      <c r="E169" s="6">
        <f t="shared" si="0"/>
        <v>541809.91999999993</v>
      </c>
      <c r="J169" s="6"/>
    </row>
    <row r="170" spans="1:10" ht="14.25" customHeight="1">
      <c r="A170" s="7">
        <v>46113</v>
      </c>
      <c r="B170" s="2" t="s">
        <v>232</v>
      </c>
      <c r="C170" s="3"/>
      <c r="D170" s="3"/>
      <c r="E170" s="6">
        <f t="shared" si="0"/>
        <v>541809.91999999993</v>
      </c>
      <c r="J170" s="6"/>
    </row>
    <row r="171" spans="1:10" ht="14.25" customHeight="1">
      <c r="A171" s="7">
        <v>46113</v>
      </c>
      <c r="B171" s="2" t="s">
        <v>233</v>
      </c>
      <c r="C171" s="3">
        <v>46000</v>
      </c>
      <c r="D171" s="3"/>
      <c r="E171" s="6">
        <f t="shared" si="0"/>
        <v>495809.91999999993</v>
      </c>
      <c r="J171" s="6"/>
    </row>
    <row r="172" spans="1:10" ht="14.25" customHeight="1">
      <c r="A172" s="7">
        <v>46113</v>
      </c>
      <c r="B172" s="2" t="s">
        <v>139</v>
      </c>
      <c r="C172" s="3">
        <v>290000</v>
      </c>
      <c r="D172" s="3"/>
      <c r="E172" s="6">
        <f t="shared" si="0"/>
        <v>205809.91999999993</v>
      </c>
      <c r="J172" s="6"/>
    </row>
    <row r="173" spans="1:10" ht="14.25" customHeight="1">
      <c r="A173" s="7">
        <v>46114</v>
      </c>
      <c r="B173" s="2" t="s">
        <v>131</v>
      </c>
      <c r="C173" s="3">
        <v>69900</v>
      </c>
      <c r="D173" s="3"/>
      <c r="E173" s="6">
        <f t="shared" si="0"/>
        <v>135909.91999999993</v>
      </c>
      <c r="J173" s="6"/>
    </row>
    <row r="174" spans="1:10" ht="14.25" customHeight="1">
      <c r="A174" s="7">
        <v>46115</v>
      </c>
      <c r="B174" s="2" t="s">
        <v>234</v>
      </c>
      <c r="C174" s="3">
        <v>42000</v>
      </c>
      <c r="D174" s="3"/>
      <c r="E174" s="6">
        <f t="shared" si="0"/>
        <v>93909.919999999925</v>
      </c>
      <c r="J174" s="6"/>
    </row>
    <row r="175" spans="1:10" ht="14.25" customHeight="1">
      <c r="A175" s="7">
        <v>46116</v>
      </c>
      <c r="B175" s="2" t="s">
        <v>234</v>
      </c>
      <c r="C175" s="3">
        <v>58000</v>
      </c>
      <c r="D175" s="3"/>
      <c r="E175" s="6">
        <f t="shared" si="0"/>
        <v>35909.919999999925</v>
      </c>
      <c r="J175" s="6"/>
    </row>
    <row r="176" spans="1:10" ht="14.25" customHeight="1">
      <c r="A176" s="7">
        <v>46117</v>
      </c>
      <c r="B176" s="2" t="s">
        <v>235</v>
      </c>
      <c r="C176" s="3">
        <v>15000</v>
      </c>
      <c r="D176" s="3"/>
      <c r="E176" s="6">
        <f t="shared" si="0"/>
        <v>20909.919999999925</v>
      </c>
      <c r="J176" s="6"/>
    </row>
    <row r="177" spans="1:10" ht="14.25" customHeight="1">
      <c r="A177" s="7">
        <v>46118</v>
      </c>
      <c r="B177" s="2" t="s">
        <v>151</v>
      </c>
      <c r="C177" s="3">
        <v>3202</v>
      </c>
      <c r="D177" s="3"/>
      <c r="E177" s="6">
        <f t="shared" si="0"/>
        <v>17707.919999999925</v>
      </c>
      <c r="J177" s="6"/>
    </row>
    <row r="178" spans="1:10" ht="14.25" customHeight="1">
      <c r="A178" s="7">
        <v>46118</v>
      </c>
      <c r="B178" s="2" t="s">
        <v>236</v>
      </c>
      <c r="C178" s="3"/>
      <c r="D178" s="3"/>
      <c r="E178" s="6">
        <f t="shared" si="0"/>
        <v>17707.919999999925</v>
      </c>
      <c r="J178" s="6"/>
    </row>
    <row r="179" spans="1:10" ht="14.25" customHeight="1">
      <c r="A179" s="7">
        <v>46118</v>
      </c>
      <c r="B179" s="2" t="s">
        <v>100</v>
      </c>
      <c r="C179" s="3"/>
      <c r="D179" s="3">
        <v>680000</v>
      </c>
      <c r="E179" s="6">
        <f t="shared" si="0"/>
        <v>697707.91999999993</v>
      </c>
      <c r="J179" s="6"/>
    </row>
    <row r="180" spans="1:10" ht="14.25" customHeight="1">
      <c r="A180" s="7">
        <v>46118</v>
      </c>
      <c r="B180" s="2" t="s">
        <v>237</v>
      </c>
      <c r="C180" s="3">
        <v>350000</v>
      </c>
      <c r="D180" s="7"/>
      <c r="E180" s="6">
        <f t="shared" si="0"/>
        <v>347707.91999999993</v>
      </c>
      <c r="J180" s="6"/>
    </row>
    <row r="181" spans="1:10" ht="14.25" customHeight="1">
      <c r="A181" s="7">
        <v>46119</v>
      </c>
      <c r="B181" s="2" t="s">
        <v>238</v>
      </c>
      <c r="C181" s="3"/>
      <c r="D181" s="3"/>
      <c r="E181" s="6">
        <f t="shared" si="0"/>
        <v>347707.91999999993</v>
      </c>
      <c r="J181" s="6"/>
    </row>
    <row r="182" spans="1:10" ht="14.25" customHeight="1">
      <c r="A182" s="7">
        <v>46115</v>
      </c>
      <c r="B182" s="2" t="s">
        <v>239</v>
      </c>
      <c r="C182" s="3"/>
      <c r="D182" s="3"/>
      <c r="E182" s="6">
        <f t="shared" si="0"/>
        <v>347707.91999999993</v>
      </c>
      <c r="J182" s="6"/>
    </row>
    <row r="183" spans="1:10" ht="15.75" customHeight="1">
      <c r="A183" s="7">
        <v>46118</v>
      </c>
      <c r="B183" s="2" t="s">
        <v>240</v>
      </c>
      <c r="C183" s="3"/>
      <c r="D183" s="3"/>
      <c r="E183" s="6">
        <f t="shared" si="0"/>
        <v>347707.91999999993</v>
      </c>
      <c r="J183" s="6"/>
    </row>
    <row r="184" spans="1:10" ht="15.75" customHeight="1">
      <c r="A184" s="7">
        <v>46118</v>
      </c>
      <c r="B184" s="2" t="s">
        <v>241</v>
      </c>
      <c r="C184" s="3"/>
      <c r="D184" s="3"/>
      <c r="E184" s="6">
        <f t="shared" si="0"/>
        <v>347707.91999999993</v>
      </c>
      <c r="J184" s="6"/>
    </row>
    <row r="185" spans="1:10" ht="15.75" customHeight="1">
      <c r="A185" s="7">
        <v>46118</v>
      </c>
      <c r="B185" s="2" t="s">
        <v>242</v>
      </c>
      <c r="C185" s="3"/>
      <c r="D185" s="3"/>
      <c r="E185" s="6">
        <f t="shared" si="0"/>
        <v>347707.91999999993</v>
      </c>
      <c r="J185" s="6"/>
    </row>
    <row r="186" spans="1:10" ht="15.75" customHeight="1">
      <c r="A186" s="7">
        <v>46119</v>
      </c>
      <c r="B186" s="2" t="s">
        <v>144</v>
      </c>
      <c r="C186" s="3"/>
      <c r="D186" s="3">
        <v>670000</v>
      </c>
      <c r="E186" s="6">
        <f t="shared" si="0"/>
        <v>1017707.9199999999</v>
      </c>
      <c r="J186" s="6"/>
    </row>
    <row r="187" spans="1:10">
      <c r="A187" s="7">
        <v>46119</v>
      </c>
      <c r="B187" s="2" t="s">
        <v>155</v>
      </c>
      <c r="C187" s="3">
        <v>92944.24</v>
      </c>
      <c r="D187" s="3"/>
      <c r="E187" s="6">
        <f t="shared" si="0"/>
        <v>924763.67999999993</v>
      </c>
      <c r="J187" s="6"/>
    </row>
    <row r="188" spans="1:10">
      <c r="A188" s="7">
        <v>46121</v>
      </c>
      <c r="B188" s="2" t="s">
        <v>243</v>
      </c>
      <c r="C188" s="3"/>
      <c r="D188" s="3"/>
      <c r="E188" s="6">
        <f t="shared" si="0"/>
        <v>924763.67999999993</v>
      </c>
      <c r="J188" s="6"/>
    </row>
    <row r="189" spans="1:10">
      <c r="A189" s="7">
        <v>46118</v>
      </c>
      <c r="B189" s="2" t="s">
        <v>145</v>
      </c>
      <c r="C189" s="3"/>
      <c r="D189" s="3">
        <v>360000</v>
      </c>
      <c r="E189" s="6">
        <f t="shared" si="0"/>
        <v>1284763.68</v>
      </c>
      <c r="J189" s="6"/>
    </row>
    <row r="190" spans="1:10">
      <c r="A190" s="7">
        <v>46119</v>
      </c>
      <c r="B190" s="2" t="s">
        <v>168</v>
      </c>
      <c r="C190" s="3">
        <v>140000</v>
      </c>
      <c r="D190" s="3"/>
      <c r="E190" s="6">
        <f t="shared" si="0"/>
        <v>1144763.68</v>
      </c>
      <c r="J190" s="6"/>
    </row>
    <row r="191" spans="1:10">
      <c r="A191" s="7">
        <v>46119</v>
      </c>
      <c r="B191" s="2" t="s">
        <v>7</v>
      </c>
      <c r="C191" s="3">
        <v>1010000</v>
      </c>
      <c r="D191" s="3"/>
      <c r="E191" s="6">
        <f t="shared" si="0"/>
        <v>134763.67999999993</v>
      </c>
      <c r="J191" s="6"/>
    </row>
    <row r="192" spans="1:10">
      <c r="A192" s="7">
        <v>46120</v>
      </c>
      <c r="B192" s="2" t="s">
        <v>202</v>
      </c>
      <c r="C192" s="3">
        <v>46000</v>
      </c>
      <c r="D192" s="3"/>
      <c r="E192" s="6">
        <f t="shared" si="0"/>
        <v>88763.679999999935</v>
      </c>
      <c r="J192" s="6"/>
    </row>
    <row r="193" spans="1:10">
      <c r="A193" s="7">
        <v>46121</v>
      </c>
      <c r="B193" s="2" t="s">
        <v>100</v>
      </c>
      <c r="C193" s="3"/>
      <c r="D193" s="3">
        <v>600000</v>
      </c>
      <c r="E193" s="6">
        <f t="shared" si="0"/>
        <v>688763.67999999993</v>
      </c>
      <c r="J193" s="6"/>
    </row>
    <row r="194" spans="1:10">
      <c r="A194" s="7">
        <v>46123</v>
      </c>
      <c r="B194" s="2" t="s">
        <v>145</v>
      </c>
      <c r="C194" s="3"/>
      <c r="D194" s="3">
        <v>315000</v>
      </c>
      <c r="E194" s="6">
        <f t="shared" si="0"/>
        <v>1003763.6799999999</v>
      </c>
      <c r="J194" s="6"/>
    </row>
    <row r="195" spans="1:10">
      <c r="A195" s="7">
        <v>46125</v>
      </c>
      <c r="B195" s="2" t="s">
        <v>244</v>
      </c>
      <c r="C195" s="3">
        <v>3390</v>
      </c>
      <c r="D195" s="3"/>
      <c r="E195" s="6">
        <f t="shared" si="0"/>
        <v>1000373.6799999999</v>
      </c>
      <c r="J195" s="6"/>
    </row>
    <row r="196" spans="1:10">
      <c r="A196" s="7">
        <v>46126</v>
      </c>
      <c r="B196" s="2" t="s">
        <v>235</v>
      </c>
      <c r="C196" s="3">
        <v>15000</v>
      </c>
      <c r="D196" s="3"/>
      <c r="E196" s="6">
        <f t="shared" si="0"/>
        <v>985373.67999999993</v>
      </c>
      <c r="J196" s="6"/>
    </row>
    <row r="197" spans="1:10">
      <c r="A197" s="7">
        <v>46126</v>
      </c>
      <c r="B197" s="2" t="s">
        <v>245</v>
      </c>
      <c r="C197" s="3">
        <v>44000</v>
      </c>
      <c r="D197" s="3"/>
      <c r="E197" s="6">
        <f t="shared" si="0"/>
        <v>941373.67999999993</v>
      </c>
      <c r="J197" s="6"/>
    </row>
    <row r="198" spans="1:10">
      <c r="A198" s="7">
        <v>46126</v>
      </c>
      <c r="B198" s="2" t="s">
        <v>151</v>
      </c>
      <c r="C198" s="3">
        <v>3246</v>
      </c>
      <c r="D198" s="3"/>
      <c r="E198" s="6">
        <f t="shared" si="0"/>
        <v>938127.67999999993</v>
      </c>
      <c r="J198" s="6"/>
    </row>
    <row r="199" spans="1:10">
      <c r="A199" s="7">
        <v>46127</v>
      </c>
      <c r="B199" s="2" t="s">
        <v>202</v>
      </c>
      <c r="C199" s="3">
        <v>46000</v>
      </c>
      <c r="D199" s="3"/>
      <c r="E199" s="6">
        <f t="shared" si="0"/>
        <v>892127.67999999993</v>
      </c>
      <c r="J199" s="6"/>
    </row>
    <row r="200" spans="1:10">
      <c r="A200" s="7">
        <v>46127</v>
      </c>
      <c r="B200" s="2" t="s">
        <v>246</v>
      </c>
      <c r="C200" s="3"/>
      <c r="D200" s="3"/>
      <c r="E200" s="6">
        <f t="shared" si="0"/>
        <v>892127.67999999993</v>
      </c>
      <c r="J200" s="6"/>
    </row>
    <row r="201" spans="1:10">
      <c r="A201" s="7">
        <v>46129</v>
      </c>
      <c r="B201" s="2" t="s">
        <v>247</v>
      </c>
      <c r="C201" s="3">
        <v>4400</v>
      </c>
      <c r="D201" s="3"/>
      <c r="E201" s="6">
        <f t="shared" si="0"/>
        <v>887727.67999999993</v>
      </c>
      <c r="J201" s="6"/>
    </row>
    <row r="202" spans="1:10">
      <c r="A202" s="7">
        <v>46129</v>
      </c>
      <c r="B202" s="2" t="s">
        <v>248</v>
      </c>
      <c r="C202" s="3">
        <v>114000</v>
      </c>
      <c r="D202" s="3"/>
      <c r="E202" s="6">
        <f t="shared" si="0"/>
        <v>773727.67999999993</v>
      </c>
      <c r="J202" s="6"/>
    </row>
    <row r="203" spans="1:10">
      <c r="A203" s="7">
        <v>46129</v>
      </c>
      <c r="B203" s="2" t="s">
        <v>160</v>
      </c>
      <c r="C203" s="3">
        <v>5000</v>
      </c>
      <c r="D203" s="3"/>
      <c r="E203" s="6">
        <f t="shared" si="0"/>
        <v>768727.67999999993</v>
      </c>
      <c r="F203" s="2" t="s">
        <v>249</v>
      </c>
      <c r="J203" s="6"/>
    </row>
    <row r="204" spans="1:10">
      <c r="A204" s="7">
        <v>46130</v>
      </c>
      <c r="B204" s="2" t="s">
        <v>250</v>
      </c>
      <c r="C204" s="3">
        <v>29000</v>
      </c>
      <c r="D204" s="3"/>
      <c r="E204" s="6">
        <f t="shared" si="0"/>
        <v>739727.67999999993</v>
      </c>
      <c r="J204" s="6"/>
    </row>
    <row r="205" spans="1:10">
      <c r="A205" s="7">
        <v>46132</v>
      </c>
      <c r="B205" s="2" t="s">
        <v>251</v>
      </c>
      <c r="C205" s="3">
        <v>36052.339999999997</v>
      </c>
      <c r="D205" s="3"/>
      <c r="E205" s="6">
        <f t="shared" si="0"/>
        <v>703675.34</v>
      </c>
      <c r="J205" s="6"/>
    </row>
    <row r="206" spans="1:10">
      <c r="A206" s="7">
        <v>46132</v>
      </c>
      <c r="B206" s="2" t="s">
        <v>252</v>
      </c>
      <c r="C206" s="3"/>
      <c r="D206" s="3"/>
      <c r="E206" s="6">
        <f t="shared" si="0"/>
        <v>703675.34</v>
      </c>
      <c r="J206" s="6"/>
    </row>
    <row r="207" spans="1:10">
      <c r="A207" s="7">
        <v>46132</v>
      </c>
      <c r="B207" s="2" t="s">
        <v>151</v>
      </c>
      <c r="C207" s="3">
        <v>3590</v>
      </c>
      <c r="D207" s="3"/>
      <c r="E207" s="6">
        <f t="shared" si="0"/>
        <v>700085.34</v>
      </c>
      <c r="J207" s="6"/>
    </row>
    <row r="208" spans="1:10">
      <c r="A208" s="7">
        <v>46133</v>
      </c>
      <c r="B208" s="2" t="s">
        <v>160</v>
      </c>
      <c r="C208" s="3">
        <v>15000</v>
      </c>
      <c r="D208" s="3"/>
      <c r="E208" s="6">
        <f t="shared" si="0"/>
        <v>685085.34</v>
      </c>
      <c r="J208" s="6"/>
    </row>
    <row r="209" spans="1:10">
      <c r="A209" s="7">
        <v>46133</v>
      </c>
      <c r="B209" s="2" t="s">
        <v>176</v>
      </c>
      <c r="C209" s="3">
        <v>8900</v>
      </c>
      <c r="D209" s="3"/>
      <c r="E209" s="6">
        <f t="shared" si="0"/>
        <v>676185.34</v>
      </c>
      <c r="J209" s="6"/>
    </row>
    <row r="210" spans="1:10">
      <c r="A210" s="7">
        <v>46133</v>
      </c>
      <c r="B210" s="2" t="s">
        <v>253</v>
      </c>
      <c r="C210" s="3">
        <v>6800</v>
      </c>
      <c r="D210" s="3"/>
      <c r="E210" s="6">
        <f t="shared" si="0"/>
        <v>669385.34</v>
      </c>
      <c r="J210" s="6"/>
    </row>
    <row r="211" spans="1:10">
      <c r="A211" s="7">
        <v>46133</v>
      </c>
      <c r="B211" s="2" t="s">
        <v>151</v>
      </c>
      <c r="C211" s="3">
        <v>3690</v>
      </c>
      <c r="D211" s="3"/>
      <c r="E211" s="6">
        <f t="shared" si="0"/>
        <v>665695.34</v>
      </c>
      <c r="J211" s="6"/>
    </row>
    <row r="212" spans="1:10">
      <c r="A212" s="7">
        <v>46134</v>
      </c>
      <c r="B212" s="2" t="s">
        <v>175</v>
      </c>
      <c r="C212" s="3">
        <v>17325.79</v>
      </c>
      <c r="D212" s="3"/>
      <c r="E212" s="6">
        <f t="shared" si="0"/>
        <v>648369.54999999993</v>
      </c>
      <c r="J212" s="6"/>
    </row>
    <row r="213" spans="1:10">
      <c r="A213" s="7">
        <v>46134</v>
      </c>
      <c r="B213" s="2" t="s">
        <v>254</v>
      </c>
      <c r="C213" s="3">
        <v>84290.72</v>
      </c>
      <c r="D213" s="3"/>
      <c r="E213" s="6">
        <f t="shared" si="0"/>
        <v>564078.82999999996</v>
      </c>
      <c r="J213" s="6"/>
    </row>
    <row r="214" spans="1:10">
      <c r="A214" s="7">
        <v>46134</v>
      </c>
      <c r="B214" s="2" t="s">
        <v>174</v>
      </c>
      <c r="C214" s="3">
        <v>22708.48</v>
      </c>
      <c r="D214" s="3"/>
      <c r="E214" s="6">
        <f t="shared" si="0"/>
        <v>541370.35</v>
      </c>
      <c r="J214" s="6"/>
    </row>
    <row r="215" spans="1:10">
      <c r="A215" s="7">
        <v>46134</v>
      </c>
      <c r="B215" s="2" t="s">
        <v>255</v>
      </c>
      <c r="C215" s="3">
        <v>195047.03</v>
      </c>
      <c r="D215" s="3"/>
      <c r="E215" s="6">
        <f t="shared" si="0"/>
        <v>346323.31999999995</v>
      </c>
      <c r="J215" s="6"/>
    </row>
    <row r="216" spans="1:10">
      <c r="A216" s="7">
        <v>46134</v>
      </c>
      <c r="B216" s="2" t="s">
        <v>202</v>
      </c>
      <c r="C216" s="5">
        <v>23000</v>
      </c>
      <c r="E216" s="6">
        <f t="shared" si="0"/>
        <v>323323.31999999995</v>
      </c>
      <c r="J216" s="6"/>
    </row>
    <row r="217" spans="1:10">
      <c r="A217" s="7">
        <v>46135</v>
      </c>
      <c r="B217" s="2" t="s">
        <v>57</v>
      </c>
      <c r="C217" s="6"/>
      <c r="D217" s="3">
        <v>60000</v>
      </c>
      <c r="E217" s="6">
        <f t="shared" si="0"/>
        <v>383323.31999999995</v>
      </c>
      <c r="J217" s="6"/>
    </row>
    <row r="218" spans="1:10">
      <c r="A218" s="7">
        <v>46135</v>
      </c>
      <c r="B218" s="2" t="s">
        <v>256</v>
      </c>
      <c r="C218" s="6"/>
      <c r="D218" s="3">
        <v>6579.16</v>
      </c>
      <c r="E218" s="6">
        <f t="shared" si="0"/>
        <v>389902.47999999992</v>
      </c>
      <c r="J218" s="6"/>
    </row>
    <row r="219" spans="1:10">
      <c r="A219" s="7">
        <v>46135</v>
      </c>
      <c r="B219" s="2" t="s">
        <v>130</v>
      </c>
      <c r="C219" s="5">
        <v>388000</v>
      </c>
      <c r="E219" s="6">
        <f t="shared" si="0"/>
        <v>1902.4799999999232</v>
      </c>
      <c r="J219" s="6"/>
    </row>
    <row r="220" spans="1:10">
      <c r="A220" s="7">
        <v>46136</v>
      </c>
      <c r="B220" s="2" t="s">
        <v>100</v>
      </c>
      <c r="C220" s="6"/>
      <c r="D220" s="3">
        <v>100000</v>
      </c>
      <c r="E220" s="6">
        <f t="shared" si="0"/>
        <v>101902.47999999992</v>
      </c>
      <c r="J220" s="6"/>
    </row>
    <row r="221" spans="1:10">
      <c r="A221" s="7">
        <v>46139</v>
      </c>
      <c r="B221" s="2" t="s">
        <v>247</v>
      </c>
      <c r="C221" s="5">
        <v>4300</v>
      </c>
      <c r="E221" s="6">
        <f t="shared" si="0"/>
        <v>97602.479999999923</v>
      </c>
      <c r="J221" s="6"/>
    </row>
    <row r="222" spans="1:10">
      <c r="A222" s="7">
        <v>46139</v>
      </c>
      <c r="B222" s="2" t="s">
        <v>151</v>
      </c>
      <c r="C222" s="5">
        <v>3536</v>
      </c>
      <c r="E222" s="6">
        <f t="shared" si="0"/>
        <v>94066.479999999923</v>
      </c>
      <c r="J222" s="6"/>
    </row>
    <row r="223" spans="1:10">
      <c r="A223" s="7">
        <v>46140</v>
      </c>
      <c r="B223" s="2" t="s">
        <v>151</v>
      </c>
      <c r="C223" s="3">
        <v>3531</v>
      </c>
      <c r="D223" s="3"/>
      <c r="E223" s="6">
        <f t="shared" si="0"/>
        <v>90535.479999999923</v>
      </c>
      <c r="J223" s="6"/>
    </row>
    <row r="224" spans="1:10">
      <c r="A224" s="7">
        <v>46141</v>
      </c>
      <c r="B224" s="2" t="s">
        <v>160</v>
      </c>
      <c r="C224" s="3">
        <v>15000</v>
      </c>
      <c r="D224" s="3"/>
      <c r="E224" s="6">
        <f t="shared" si="0"/>
        <v>75535.479999999923</v>
      </c>
      <c r="J224" s="6"/>
    </row>
    <row r="225" spans="1:10">
      <c r="A225" s="7">
        <v>46141</v>
      </c>
      <c r="B225" s="2" t="s">
        <v>247</v>
      </c>
      <c r="C225" s="3"/>
      <c r="D225" s="3">
        <v>15000</v>
      </c>
      <c r="E225" s="6">
        <f t="shared" si="0"/>
        <v>90535.479999999923</v>
      </c>
      <c r="J225" s="6"/>
    </row>
    <row r="226" spans="1:10">
      <c r="A226" s="7">
        <v>46143</v>
      </c>
      <c r="B226" s="2" t="s">
        <v>257</v>
      </c>
      <c r="C226" s="3"/>
      <c r="D226" s="3">
        <v>104018</v>
      </c>
      <c r="E226" s="6">
        <f t="shared" si="0"/>
        <v>194553.47999999992</v>
      </c>
      <c r="J226" s="6"/>
    </row>
    <row r="227" spans="1:10">
      <c r="A227" s="7">
        <v>46146</v>
      </c>
      <c r="B227" s="2" t="s">
        <v>258</v>
      </c>
      <c r="C227" s="3"/>
      <c r="D227" s="3"/>
      <c r="E227" s="6">
        <f t="shared" si="0"/>
        <v>194553.47999999992</v>
      </c>
      <c r="J227" s="6"/>
    </row>
    <row r="228" spans="1:10">
      <c r="A228" s="7">
        <v>46146</v>
      </c>
      <c r="B228" s="2" t="s">
        <v>160</v>
      </c>
      <c r="C228" s="3">
        <v>5000</v>
      </c>
      <c r="D228" s="3"/>
      <c r="E228" s="6">
        <f t="shared" si="0"/>
        <v>189553.47999999992</v>
      </c>
      <c r="J228" s="6"/>
    </row>
    <row r="229" spans="1:10">
      <c r="A229" s="7">
        <v>46146</v>
      </c>
      <c r="B229" s="2" t="s">
        <v>178</v>
      </c>
      <c r="C229" s="3">
        <v>35759.050000000003</v>
      </c>
      <c r="D229" s="3"/>
      <c r="E229" s="6">
        <f t="shared" si="0"/>
        <v>153794.42999999993</v>
      </c>
      <c r="J229" s="6"/>
    </row>
    <row r="230" spans="1:10">
      <c r="A230" s="7">
        <v>46146</v>
      </c>
      <c r="B230" s="2" t="s">
        <v>259</v>
      </c>
      <c r="C230" s="3"/>
      <c r="D230" s="3"/>
      <c r="E230" s="6">
        <f t="shared" si="0"/>
        <v>153794.42999999993</v>
      </c>
      <c r="J230" s="6"/>
    </row>
    <row r="231" spans="1:10">
      <c r="A231" s="7">
        <v>46146</v>
      </c>
      <c r="B231" s="2" t="s">
        <v>260</v>
      </c>
      <c r="C231" s="3"/>
      <c r="D231" s="3"/>
      <c r="E231" s="6">
        <f t="shared" si="0"/>
        <v>153794.42999999993</v>
      </c>
      <c r="J231" s="6"/>
    </row>
    <row r="232" spans="1:10">
      <c r="A232" s="15">
        <v>46148</v>
      </c>
      <c r="B232" s="2" t="s">
        <v>155</v>
      </c>
      <c r="C232" s="3">
        <v>95639.62</v>
      </c>
      <c r="D232" s="3"/>
      <c r="E232" s="6">
        <f t="shared" si="0"/>
        <v>58154.809999999939</v>
      </c>
      <c r="J232" s="6"/>
    </row>
    <row r="233" spans="1:10">
      <c r="A233" s="15">
        <v>46148</v>
      </c>
      <c r="B233" s="2" t="s">
        <v>261</v>
      </c>
      <c r="C233" s="3"/>
      <c r="D233" s="3"/>
      <c r="E233" s="6">
        <f t="shared" si="0"/>
        <v>58154.809999999939</v>
      </c>
      <c r="J233" s="6"/>
    </row>
    <row r="234" spans="1:10">
      <c r="A234" s="15">
        <v>46149</v>
      </c>
      <c r="B234" s="2" t="s">
        <v>262</v>
      </c>
      <c r="C234" s="3"/>
      <c r="D234" s="3"/>
      <c r="E234" s="6">
        <f t="shared" si="0"/>
        <v>58154.809999999939</v>
      </c>
      <c r="J234" s="6"/>
    </row>
    <row r="235" spans="1:10">
      <c r="A235" s="15">
        <v>46149</v>
      </c>
      <c r="B235" s="2" t="s">
        <v>263</v>
      </c>
      <c r="C235" s="3"/>
      <c r="D235" s="3"/>
      <c r="E235" s="6">
        <f t="shared" si="0"/>
        <v>58154.809999999939</v>
      </c>
      <c r="J235" s="6"/>
    </row>
    <row r="236" spans="1:10">
      <c r="A236" s="15">
        <v>46150</v>
      </c>
      <c r="B236" s="2" t="s">
        <v>264</v>
      </c>
      <c r="C236" s="3"/>
      <c r="D236" s="3"/>
      <c r="E236" s="6">
        <f t="shared" si="0"/>
        <v>58154.809999999939</v>
      </c>
      <c r="J236" s="6"/>
    </row>
    <row r="237" spans="1:10">
      <c r="A237" s="16">
        <v>46148</v>
      </c>
      <c r="B237" s="2" t="s">
        <v>144</v>
      </c>
      <c r="C237" s="5"/>
      <c r="D237" s="3">
        <v>720000</v>
      </c>
      <c r="E237" s="6">
        <f t="shared" si="0"/>
        <v>778154.80999999994</v>
      </c>
      <c r="J237" s="6"/>
    </row>
    <row r="238" spans="1:10">
      <c r="A238" s="16">
        <v>46148</v>
      </c>
      <c r="B238" s="2" t="s">
        <v>7</v>
      </c>
      <c r="C238" s="5">
        <v>550000</v>
      </c>
      <c r="D238" s="3"/>
      <c r="E238" s="6">
        <f t="shared" si="0"/>
        <v>228154.80999999994</v>
      </c>
      <c r="J238" s="6"/>
    </row>
    <row r="239" spans="1:10">
      <c r="A239" s="16">
        <v>46150</v>
      </c>
      <c r="B239" s="2" t="s">
        <v>236</v>
      </c>
      <c r="C239" s="5"/>
      <c r="D239" s="3"/>
      <c r="E239" s="6">
        <f t="shared" si="0"/>
        <v>228154.80999999994</v>
      </c>
      <c r="J239" s="6"/>
    </row>
    <row r="240" spans="1:10">
      <c r="A240" s="16">
        <v>46151</v>
      </c>
      <c r="B240" s="2" t="s">
        <v>265</v>
      </c>
      <c r="C240" s="5">
        <v>170000</v>
      </c>
      <c r="D240" s="3"/>
      <c r="E240" s="6">
        <f t="shared" si="0"/>
        <v>58154.809999999939</v>
      </c>
      <c r="J240" s="6"/>
    </row>
    <row r="241" spans="1:10">
      <c r="A241" s="16">
        <v>46151</v>
      </c>
      <c r="B241" s="2" t="s">
        <v>130</v>
      </c>
      <c r="C241" s="5">
        <v>50000</v>
      </c>
      <c r="D241" s="3"/>
      <c r="E241" s="6">
        <f t="shared" si="0"/>
        <v>8154.8099999999395</v>
      </c>
      <c r="J241" s="6"/>
    </row>
    <row r="242" spans="1:10">
      <c r="A242" s="16">
        <v>46153</v>
      </c>
      <c r="B242" s="2" t="s">
        <v>145</v>
      </c>
      <c r="C242" s="5"/>
      <c r="D242" s="3">
        <v>340000</v>
      </c>
      <c r="E242" s="6">
        <f t="shared" si="0"/>
        <v>348154.80999999994</v>
      </c>
      <c r="J242" s="6"/>
    </row>
    <row r="243" spans="1:10">
      <c r="A243" s="16">
        <v>46153</v>
      </c>
      <c r="B243" s="2" t="s">
        <v>168</v>
      </c>
      <c r="C243" s="5">
        <v>160000</v>
      </c>
      <c r="D243" s="3"/>
      <c r="E243" s="6">
        <f t="shared" si="0"/>
        <v>188154.80999999994</v>
      </c>
      <c r="J243" s="6"/>
    </row>
    <row r="244" spans="1:10">
      <c r="A244" s="16">
        <v>46153</v>
      </c>
      <c r="B244" s="2" t="s">
        <v>243</v>
      </c>
      <c r="C244" s="5"/>
      <c r="D244" s="3"/>
      <c r="E244" s="6">
        <f t="shared" si="0"/>
        <v>188154.80999999994</v>
      </c>
      <c r="J244" s="6"/>
    </row>
    <row r="245" spans="1:10">
      <c r="A245" s="16">
        <v>46153</v>
      </c>
      <c r="B245" s="2" t="s">
        <v>160</v>
      </c>
      <c r="C245" s="5">
        <v>15000</v>
      </c>
      <c r="D245" s="3"/>
      <c r="E245" s="6">
        <f t="shared" si="0"/>
        <v>173154.80999999994</v>
      </c>
      <c r="J245" s="6"/>
    </row>
    <row r="246" spans="1:10">
      <c r="A246" s="15">
        <v>46154</v>
      </c>
      <c r="B246" s="2" t="s">
        <v>266</v>
      </c>
      <c r="C246" s="5">
        <v>18800</v>
      </c>
      <c r="D246" s="3"/>
      <c r="E246" s="6">
        <f t="shared" si="0"/>
        <v>154354.80999999994</v>
      </c>
      <c r="J246" s="6"/>
    </row>
    <row r="247" spans="1:10">
      <c r="A247" s="15">
        <v>46154</v>
      </c>
      <c r="B247" s="2" t="s">
        <v>151</v>
      </c>
      <c r="C247" s="5">
        <v>4132</v>
      </c>
      <c r="D247" s="3"/>
      <c r="E247" s="6">
        <f t="shared" si="0"/>
        <v>150222.80999999994</v>
      </c>
      <c r="J247" s="6"/>
    </row>
    <row r="248" spans="1:10">
      <c r="A248" s="15">
        <v>45790</v>
      </c>
      <c r="B248" s="2" t="s">
        <v>202</v>
      </c>
      <c r="C248" s="5">
        <v>23000</v>
      </c>
      <c r="D248" s="3"/>
      <c r="E248" s="6">
        <f t="shared" si="0"/>
        <v>127222.80999999994</v>
      </c>
      <c r="J248" s="6"/>
    </row>
    <row r="249" spans="1:10">
      <c r="A249" s="16">
        <v>46156</v>
      </c>
      <c r="B249" s="2" t="s">
        <v>267</v>
      </c>
      <c r="C249" s="3"/>
      <c r="D249" s="3"/>
      <c r="E249" s="6">
        <f t="shared" si="0"/>
        <v>127222.80999999994</v>
      </c>
      <c r="J249" s="6"/>
    </row>
    <row r="250" spans="1:10">
      <c r="A250" s="16">
        <v>46156</v>
      </c>
      <c r="B250" s="2" t="s">
        <v>268</v>
      </c>
      <c r="C250" s="5">
        <v>39382</v>
      </c>
      <c r="D250" s="3"/>
      <c r="E250" s="6">
        <f t="shared" si="0"/>
        <v>87840.809999999939</v>
      </c>
      <c r="J250" s="6"/>
    </row>
    <row r="251" spans="1:10">
      <c r="A251" s="16">
        <v>46157</v>
      </c>
      <c r="B251" s="2" t="s">
        <v>145</v>
      </c>
      <c r="C251" s="5"/>
      <c r="D251" s="3">
        <v>400000</v>
      </c>
      <c r="E251" s="6">
        <f t="shared" si="0"/>
        <v>487840.80999999994</v>
      </c>
      <c r="J251" s="6"/>
    </row>
    <row r="252" spans="1:10">
      <c r="A252" s="16">
        <v>46158</v>
      </c>
      <c r="B252" s="2" t="s">
        <v>269</v>
      </c>
      <c r="C252" s="5">
        <v>23334</v>
      </c>
      <c r="D252" s="3"/>
      <c r="E252" s="6">
        <f t="shared" si="0"/>
        <v>464506.80999999994</v>
      </c>
      <c r="J252" s="6"/>
    </row>
    <row r="253" spans="1:10">
      <c r="A253" s="16">
        <v>46160</v>
      </c>
      <c r="B253" s="2" t="s">
        <v>247</v>
      </c>
      <c r="C253" s="5">
        <v>14500</v>
      </c>
      <c r="D253" s="3"/>
      <c r="E253" s="6">
        <f t="shared" si="0"/>
        <v>450006.80999999994</v>
      </c>
      <c r="J253" s="6"/>
    </row>
    <row r="254" spans="1:10">
      <c r="A254" s="16">
        <v>46160</v>
      </c>
      <c r="B254" s="2" t="s">
        <v>270</v>
      </c>
      <c r="C254" s="5"/>
      <c r="D254" s="3"/>
      <c r="E254" s="6">
        <f t="shared" si="0"/>
        <v>450006.80999999994</v>
      </c>
      <c r="J254" s="6"/>
    </row>
    <row r="255" spans="1:10">
      <c r="A255" s="16">
        <v>46160</v>
      </c>
      <c r="B255" s="2" t="s">
        <v>271</v>
      </c>
      <c r="C255" s="5"/>
      <c r="D255" s="3"/>
      <c r="E255" s="6">
        <f t="shared" si="0"/>
        <v>450006.80999999994</v>
      </c>
      <c r="J255" s="6"/>
    </row>
    <row r="256" spans="1:10">
      <c r="A256" s="16">
        <v>46161</v>
      </c>
      <c r="B256" s="2" t="s">
        <v>272</v>
      </c>
      <c r="C256" s="5">
        <v>56657.82</v>
      </c>
      <c r="D256" s="3"/>
      <c r="E256" s="6">
        <f t="shared" si="0"/>
        <v>393348.98999999993</v>
      </c>
      <c r="J256" s="6"/>
    </row>
    <row r="257" spans="1:10">
      <c r="A257" s="7">
        <v>46161</v>
      </c>
      <c r="B257" s="2" t="s">
        <v>273</v>
      </c>
      <c r="C257" s="3">
        <v>84290.72</v>
      </c>
      <c r="D257" s="3"/>
      <c r="E257" s="6">
        <f t="shared" si="0"/>
        <v>309058.2699999999</v>
      </c>
      <c r="J257" s="6"/>
    </row>
    <row r="258" spans="1:10">
      <c r="A258" s="15">
        <v>46161</v>
      </c>
      <c r="B258" s="2" t="s">
        <v>151</v>
      </c>
      <c r="C258" s="3">
        <v>3990</v>
      </c>
      <c r="D258" s="3"/>
      <c r="E258" s="6">
        <f t="shared" ref="E258:E317" si="1">E257+D258-C258</f>
        <v>305068.2699999999</v>
      </c>
      <c r="J258" s="6"/>
    </row>
    <row r="259" spans="1:10">
      <c r="A259" s="16">
        <v>46161</v>
      </c>
      <c r="B259" s="2" t="s">
        <v>175</v>
      </c>
      <c r="C259" s="5">
        <v>16551.439999999999</v>
      </c>
      <c r="D259" s="3"/>
      <c r="E259" s="6">
        <f t="shared" si="1"/>
        <v>288516.8299999999</v>
      </c>
      <c r="J259" s="6"/>
    </row>
    <row r="260" spans="1:10">
      <c r="A260" s="15">
        <v>46161</v>
      </c>
      <c r="B260" s="2" t="s">
        <v>274</v>
      </c>
      <c r="C260" s="3">
        <v>136617.67000000001</v>
      </c>
      <c r="D260" s="3"/>
      <c r="E260" s="6">
        <f t="shared" si="1"/>
        <v>151899.15999999989</v>
      </c>
      <c r="J260" s="6"/>
    </row>
    <row r="261" spans="1:10">
      <c r="A261" s="15">
        <v>46161</v>
      </c>
      <c r="B261" s="2" t="s">
        <v>174</v>
      </c>
      <c r="C261" s="3">
        <v>47804.6</v>
      </c>
      <c r="D261" s="3"/>
      <c r="E261" s="6">
        <f t="shared" si="1"/>
        <v>104094.55999999988</v>
      </c>
      <c r="J261" s="6"/>
    </row>
    <row r="262" spans="1:10">
      <c r="A262" s="15">
        <v>46161</v>
      </c>
      <c r="B262" s="2" t="s">
        <v>275</v>
      </c>
      <c r="C262" s="3"/>
      <c r="D262" s="3">
        <v>18000</v>
      </c>
      <c r="E262" s="6">
        <f t="shared" si="1"/>
        <v>122094.55999999988</v>
      </c>
      <c r="J262" s="6"/>
    </row>
    <row r="263" spans="1:10">
      <c r="A263" s="15">
        <v>46162</v>
      </c>
      <c r="B263" s="2" t="s">
        <v>160</v>
      </c>
      <c r="C263" s="3">
        <v>20000</v>
      </c>
      <c r="D263" s="3"/>
      <c r="E263" s="6">
        <f t="shared" si="1"/>
        <v>102094.55999999988</v>
      </c>
      <c r="J263" s="6"/>
    </row>
    <row r="264" spans="1:10">
      <c r="A264" s="15">
        <v>46162</v>
      </c>
      <c r="B264" s="2" t="s">
        <v>202</v>
      </c>
      <c r="C264" s="3">
        <v>23000</v>
      </c>
      <c r="D264" s="3"/>
      <c r="E264" s="6">
        <f t="shared" si="1"/>
        <v>79094.559999999881</v>
      </c>
      <c r="J264" s="6"/>
    </row>
    <row r="265" spans="1:10">
      <c r="A265" s="7">
        <v>46163</v>
      </c>
      <c r="B265" s="2" t="s">
        <v>276</v>
      </c>
      <c r="C265" s="3"/>
      <c r="D265" s="3"/>
      <c r="E265" s="6">
        <f t="shared" si="1"/>
        <v>79094.559999999881</v>
      </c>
      <c r="J265" s="6"/>
    </row>
    <row r="266" spans="1:10">
      <c r="A266" s="7">
        <v>46163</v>
      </c>
      <c r="B266" s="2" t="s">
        <v>277</v>
      </c>
      <c r="C266" s="3"/>
      <c r="D266" s="3"/>
      <c r="E266" s="6">
        <f t="shared" si="1"/>
        <v>79094.559999999881</v>
      </c>
      <c r="J266" s="6"/>
    </row>
    <row r="267" spans="1:10">
      <c r="A267" s="16">
        <v>46164</v>
      </c>
      <c r="B267" s="2" t="s">
        <v>278</v>
      </c>
      <c r="C267" s="5"/>
      <c r="D267" s="3">
        <v>100000</v>
      </c>
      <c r="E267" s="6">
        <f t="shared" si="1"/>
        <v>179094.55999999988</v>
      </c>
      <c r="J267" s="6"/>
    </row>
    <row r="268" spans="1:10">
      <c r="A268" s="16">
        <v>46168</v>
      </c>
      <c r="B268" s="2" t="s">
        <v>279</v>
      </c>
      <c r="C268" s="5"/>
      <c r="D268" s="3">
        <v>50000</v>
      </c>
      <c r="E268" s="6">
        <f t="shared" si="1"/>
        <v>229094.55999999988</v>
      </c>
      <c r="J268" s="6"/>
    </row>
    <row r="269" spans="1:10">
      <c r="A269" s="16">
        <v>46168</v>
      </c>
      <c r="B269" s="2" t="s">
        <v>280</v>
      </c>
      <c r="C269" s="5"/>
      <c r="D269" s="3">
        <v>52000</v>
      </c>
      <c r="E269" s="6">
        <f t="shared" si="1"/>
        <v>281094.55999999988</v>
      </c>
      <c r="J269" s="6"/>
    </row>
    <row r="270" spans="1:10">
      <c r="A270" s="16">
        <v>46169</v>
      </c>
      <c r="B270" s="2" t="s">
        <v>178</v>
      </c>
      <c r="C270" s="5">
        <v>30417.9</v>
      </c>
      <c r="D270" s="3"/>
      <c r="E270" s="6">
        <f t="shared" si="1"/>
        <v>250676.65999999989</v>
      </c>
      <c r="J270" s="6"/>
    </row>
    <row r="271" spans="1:10">
      <c r="A271" s="16">
        <v>46169</v>
      </c>
      <c r="B271" s="2" t="s">
        <v>202</v>
      </c>
      <c r="C271" s="3">
        <v>23000</v>
      </c>
      <c r="D271" s="3"/>
      <c r="E271" s="6">
        <f t="shared" si="1"/>
        <v>227676.65999999989</v>
      </c>
      <c r="J271" s="6"/>
    </row>
    <row r="272" spans="1:10">
      <c r="A272" s="7">
        <v>46170</v>
      </c>
      <c r="B272" s="2" t="s">
        <v>281</v>
      </c>
      <c r="C272" s="3">
        <v>15000</v>
      </c>
      <c r="D272" s="3"/>
      <c r="E272" s="6">
        <f t="shared" si="1"/>
        <v>212676.65999999989</v>
      </c>
      <c r="J272" s="6"/>
    </row>
    <row r="273" spans="1:10">
      <c r="A273" s="7">
        <v>46173</v>
      </c>
      <c r="B273" s="2" t="s">
        <v>282</v>
      </c>
      <c r="C273" s="3">
        <v>40000</v>
      </c>
      <c r="D273" s="3"/>
      <c r="E273" s="6">
        <f t="shared" si="1"/>
        <v>172676.65999999989</v>
      </c>
      <c r="J273" s="6"/>
    </row>
    <row r="274" spans="1:10">
      <c r="A274" s="7">
        <v>46174</v>
      </c>
      <c r="B274" s="2" t="s">
        <v>283</v>
      </c>
      <c r="C274" s="3"/>
      <c r="D274" s="3"/>
      <c r="E274" s="6">
        <f t="shared" si="1"/>
        <v>172676.65999999989</v>
      </c>
      <c r="J274" s="6"/>
    </row>
    <row r="275" spans="1:10">
      <c r="A275" s="7">
        <v>46175</v>
      </c>
      <c r="B275" s="2" t="s">
        <v>284</v>
      </c>
      <c r="C275" s="3"/>
      <c r="D275" s="3"/>
      <c r="E275" s="6">
        <f t="shared" si="1"/>
        <v>172676.65999999989</v>
      </c>
      <c r="J275" s="6"/>
    </row>
    <row r="276" spans="1:10">
      <c r="A276" s="7">
        <v>46176</v>
      </c>
      <c r="B276" s="2" t="s">
        <v>285</v>
      </c>
      <c r="C276" s="3"/>
      <c r="D276" s="3"/>
      <c r="E276" s="6">
        <f t="shared" si="1"/>
        <v>172676.65999999989</v>
      </c>
      <c r="J276" s="6"/>
    </row>
    <row r="277" spans="1:10">
      <c r="A277" s="7">
        <v>46177</v>
      </c>
      <c r="B277" s="2" t="s">
        <v>133</v>
      </c>
      <c r="C277" s="5">
        <v>142100</v>
      </c>
      <c r="D277" s="3"/>
      <c r="E277" s="6">
        <f t="shared" si="1"/>
        <v>30576.659999999887</v>
      </c>
      <c r="J277" s="6"/>
    </row>
    <row r="278" spans="1:10">
      <c r="A278" s="7">
        <v>46178</v>
      </c>
      <c r="B278" s="2" t="s">
        <v>286</v>
      </c>
      <c r="C278" s="3"/>
      <c r="D278" s="3"/>
      <c r="E278" s="6">
        <f t="shared" si="1"/>
        <v>30576.659999999887</v>
      </c>
      <c r="J278" s="6"/>
    </row>
    <row r="279" spans="1:10">
      <c r="A279" s="7">
        <v>46178</v>
      </c>
      <c r="B279" s="2" t="s">
        <v>287</v>
      </c>
      <c r="C279" s="3"/>
      <c r="D279" s="3"/>
      <c r="E279" s="6">
        <f t="shared" si="1"/>
        <v>30576.659999999887</v>
      </c>
      <c r="J279" s="6"/>
    </row>
    <row r="280" spans="1:10">
      <c r="A280" s="7">
        <v>46178</v>
      </c>
      <c r="B280" s="2" t="s">
        <v>288</v>
      </c>
      <c r="C280" s="3">
        <v>5000</v>
      </c>
      <c r="D280" s="3"/>
      <c r="E280" s="6">
        <f t="shared" si="1"/>
        <v>25576.659999999887</v>
      </c>
      <c r="J280" s="6"/>
    </row>
    <row r="281" spans="1:10">
      <c r="A281" s="7">
        <v>46178</v>
      </c>
      <c r="B281" s="2" t="s">
        <v>275</v>
      </c>
      <c r="C281" s="3"/>
      <c r="D281" s="3">
        <v>39000</v>
      </c>
      <c r="E281" s="6">
        <f t="shared" si="1"/>
        <v>64576.659999999887</v>
      </c>
      <c r="J281" s="6"/>
    </row>
    <row r="282" spans="1:10">
      <c r="A282" s="7">
        <v>46179</v>
      </c>
      <c r="B282" s="2" t="s">
        <v>289</v>
      </c>
      <c r="C282" s="3"/>
      <c r="D282" s="3"/>
      <c r="E282" s="6">
        <f t="shared" si="1"/>
        <v>64576.659999999887</v>
      </c>
      <c r="J282" s="6"/>
    </row>
    <row r="283" spans="1:10">
      <c r="A283" s="7">
        <v>46179</v>
      </c>
      <c r="B283" s="2" t="s">
        <v>290</v>
      </c>
      <c r="C283" s="3"/>
      <c r="D283" s="3"/>
      <c r="E283" s="6">
        <f t="shared" si="1"/>
        <v>64576.659999999887</v>
      </c>
      <c r="J283" s="6"/>
    </row>
    <row r="284" spans="1:10">
      <c r="A284" s="7">
        <v>46180</v>
      </c>
      <c r="B284" s="2" t="s">
        <v>57</v>
      </c>
      <c r="C284" s="3"/>
      <c r="D284" s="3">
        <v>110000</v>
      </c>
      <c r="E284" s="6">
        <f t="shared" si="1"/>
        <v>174576.65999999989</v>
      </c>
      <c r="J284" s="6"/>
    </row>
    <row r="285" spans="1:10">
      <c r="A285" s="7">
        <v>46181</v>
      </c>
      <c r="B285" s="2" t="s">
        <v>291</v>
      </c>
      <c r="C285" s="3"/>
      <c r="D285" s="3"/>
      <c r="E285" s="6">
        <f t="shared" si="1"/>
        <v>174576.65999999989</v>
      </c>
      <c r="J285" s="6"/>
    </row>
    <row r="286" spans="1:10">
      <c r="A286" s="7">
        <v>46181</v>
      </c>
      <c r="B286" s="2" t="s">
        <v>227</v>
      </c>
      <c r="C286" s="3">
        <v>8500</v>
      </c>
      <c r="D286" s="3"/>
      <c r="E286" s="6">
        <f t="shared" si="1"/>
        <v>166076.65999999989</v>
      </c>
      <c r="F286" s="2" t="s">
        <v>292</v>
      </c>
      <c r="J286" s="6"/>
    </row>
    <row r="287" spans="1:10">
      <c r="A287" s="7">
        <v>46181</v>
      </c>
      <c r="B287" s="2" t="s">
        <v>57</v>
      </c>
      <c r="C287" s="3"/>
      <c r="D287" s="3">
        <v>120000</v>
      </c>
      <c r="E287" s="6">
        <f t="shared" si="1"/>
        <v>286076.65999999992</v>
      </c>
      <c r="F287" s="2" t="s">
        <v>292</v>
      </c>
      <c r="J287" s="6"/>
    </row>
    <row r="288" spans="1:10">
      <c r="A288" s="7">
        <v>46181</v>
      </c>
      <c r="B288" s="2" t="s">
        <v>293</v>
      </c>
      <c r="C288" s="3">
        <v>170713</v>
      </c>
      <c r="D288" s="3"/>
      <c r="E288" s="6">
        <f t="shared" si="1"/>
        <v>115363.65999999992</v>
      </c>
      <c r="F288" s="2" t="s">
        <v>292</v>
      </c>
      <c r="J288" s="6"/>
    </row>
    <row r="289" spans="1:10">
      <c r="A289" s="7">
        <v>46181</v>
      </c>
      <c r="B289" s="2" t="s">
        <v>155</v>
      </c>
      <c r="C289" s="3">
        <v>98872.24</v>
      </c>
      <c r="D289" s="3"/>
      <c r="E289" s="6">
        <f t="shared" si="1"/>
        <v>16491.419999999911</v>
      </c>
      <c r="F289" s="2" t="s">
        <v>292</v>
      </c>
      <c r="J289" s="6"/>
    </row>
    <row r="290" spans="1:10">
      <c r="A290" s="7">
        <v>46181</v>
      </c>
      <c r="B290" s="2" t="s">
        <v>294</v>
      </c>
      <c r="C290" s="5"/>
      <c r="D290" s="3">
        <v>47545</v>
      </c>
      <c r="E290" s="6">
        <f t="shared" si="1"/>
        <v>64036.419999999911</v>
      </c>
      <c r="F290" s="2" t="s">
        <v>292</v>
      </c>
      <c r="J290" s="6"/>
    </row>
    <row r="291" spans="1:10">
      <c r="A291" s="7">
        <v>46181</v>
      </c>
      <c r="B291" s="2" t="s">
        <v>295</v>
      </c>
      <c r="C291" s="5"/>
      <c r="D291" s="3">
        <v>14000</v>
      </c>
      <c r="E291" s="6">
        <f t="shared" si="1"/>
        <v>78036.419999999911</v>
      </c>
      <c r="F291" s="2" t="s">
        <v>292</v>
      </c>
      <c r="J291" s="6"/>
    </row>
    <row r="292" spans="1:10">
      <c r="A292" s="7">
        <v>46182</v>
      </c>
      <c r="B292" s="2" t="s">
        <v>144</v>
      </c>
      <c r="C292" s="5"/>
      <c r="D292" s="3">
        <v>720000</v>
      </c>
      <c r="E292" s="6">
        <f t="shared" si="1"/>
        <v>798036.41999999993</v>
      </c>
      <c r="F292" s="2" t="s">
        <v>292</v>
      </c>
      <c r="J292" s="6"/>
    </row>
    <row r="293" spans="1:10">
      <c r="A293" s="7">
        <v>46182</v>
      </c>
      <c r="B293" s="2" t="s">
        <v>168</v>
      </c>
      <c r="C293" s="3">
        <v>160000</v>
      </c>
      <c r="D293" s="3"/>
      <c r="E293" s="6">
        <f t="shared" si="1"/>
        <v>638036.41999999993</v>
      </c>
      <c r="F293" s="2" t="s">
        <v>292</v>
      </c>
      <c r="J293" s="6"/>
    </row>
    <row r="294" spans="1:10">
      <c r="A294" s="7">
        <v>46182</v>
      </c>
      <c r="B294" s="2" t="s">
        <v>7</v>
      </c>
      <c r="C294" s="5">
        <v>400000</v>
      </c>
      <c r="D294" s="3"/>
      <c r="E294" s="6">
        <f t="shared" si="1"/>
        <v>238036.41999999993</v>
      </c>
      <c r="F294" s="2" t="s">
        <v>292</v>
      </c>
      <c r="J294" s="6"/>
    </row>
    <row r="295" spans="1:10">
      <c r="A295" s="7">
        <v>46182</v>
      </c>
      <c r="B295" s="2" t="s">
        <v>151</v>
      </c>
      <c r="C295" s="5">
        <v>4339</v>
      </c>
      <c r="D295" s="3"/>
      <c r="E295" s="6">
        <f t="shared" si="1"/>
        <v>233697.41999999993</v>
      </c>
      <c r="F295" s="2" t="s">
        <v>292</v>
      </c>
      <c r="J295" s="6"/>
    </row>
    <row r="296" spans="1:10">
      <c r="A296" s="7">
        <v>46183</v>
      </c>
      <c r="B296" s="2" t="s">
        <v>145</v>
      </c>
      <c r="C296" s="5"/>
      <c r="D296" s="3">
        <v>340000</v>
      </c>
      <c r="E296" s="6">
        <f t="shared" si="1"/>
        <v>573697.41999999993</v>
      </c>
      <c r="F296" s="2" t="s">
        <v>292</v>
      </c>
      <c r="J296" s="6"/>
    </row>
    <row r="297" spans="1:10">
      <c r="A297" s="7">
        <v>46183</v>
      </c>
      <c r="B297" s="2" t="s">
        <v>296</v>
      </c>
      <c r="C297" s="3"/>
      <c r="D297" s="3"/>
      <c r="E297" s="6">
        <f t="shared" si="1"/>
        <v>573697.41999999993</v>
      </c>
      <c r="F297" s="2" t="s">
        <v>292</v>
      </c>
      <c r="J297" s="6"/>
    </row>
    <row r="298" spans="1:10">
      <c r="A298" s="7">
        <v>46185</v>
      </c>
      <c r="B298" s="2" t="s">
        <v>297</v>
      </c>
      <c r="C298" s="5"/>
      <c r="D298" s="3"/>
      <c r="E298" s="6">
        <f t="shared" si="1"/>
        <v>573697.41999999993</v>
      </c>
      <c r="F298" s="2" t="s">
        <v>292</v>
      </c>
      <c r="J298" s="6"/>
    </row>
    <row r="299" spans="1:10">
      <c r="A299" s="7">
        <v>46185</v>
      </c>
      <c r="B299" s="2" t="s">
        <v>145</v>
      </c>
      <c r="C299" s="5"/>
      <c r="D299" s="3">
        <v>400000</v>
      </c>
      <c r="E299" s="6">
        <f t="shared" si="1"/>
        <v>973697.41999999993</v>
      </c>
      <c r="F299" s="2" t="s">
        <v>292</v>
      </c>
      <c r="J299" s="6"/>
    </row>
    <row r="300" spans="1:10">
      <c r="A300" s="7">
        <v>46185</v>
      </c>
      <c r="B300" s="2" t="s">
        <v>298</v>
      </c>
      <c r="C300" s="3">
        <v>17663.75</v>
      </c>
      <c r="D300" s="3"/>
      <c r="E300" s="6">
        <f t="shared" si="1"/>
        <v>956033.66999999993</v>
      </c>
      <c r="F300" s="2" t="s">
        <v>292</v>
      </c>
      <c r="J300" s="6"/>
    </row>
    <row r="301" spans="1:10">
      <c r="A301" s="7">
        <v>46185</v>
      </c>
      <c r="B301" s="2" t="s">
        <v>7</v>
      </c>
      <c r="C301" s="3">
        <v>700000</v>
      </c>
      <c r="D301" s="3"/>
      <c r="E301" s="6">
        <f t="shared" si="1"/>
        <v>256033.66999999993</v>
      </c>
      <c r="F301" s="2" t="s">
        <v>292</v>
      </c>
      <c r="J301" s="6"/>
    </row>
    <row r="302" spans="1:10">
      <c r="A302" s="7">
        <v>46187</v>
      </c>
      <c r="B302" s="2" t="s">
        <v>299</v>
      </c>
      <c r="C302" s="3">
        <v>10023.18</v>
      </c>
      <c r="D302" s="3"/>
      <c r="E302" s="6">
        <f t="shared" si="1"/>
        <v>246010.48999999993</v>
      </c>
      <c r="F302" s="2" t="s">
        <v>292</v>
      </c>
      <c r="J302" s="6"/>
    </row>
    <row r="303" spans="1:10">
      <c r="A303" s="7">
        <v>46189</v>
      </c>
      <c r="B303" s="2" t="s">
        <v>300</v>
      </c>
      <c r="C303" s="3">
        <v>18317.62</v>
      </c>
      <c r="D303" s="3"/>
      <c r="E303" s="6">
        <f t="shared" si="1"/>
        <v>227692.86999999994</v>
      </c>
      <c r="F303" s="2" t="s">
        <v>292</v>
      </c>
      <c r="J303" s="6"/>
    </row>
    <row r="304" spans="1:10">
      <c r="A304" s="7">
        <v>46190</v>
      </c>
      <c r="B304" s="2" t="s">
        <v>301</v>
      </c>
      <c r="C304" s="3"/>
      <c r="D304" s="3"/>
      <c r="E304" s="6">
        <f t="shared" si="1"/>
        <v>227692.86999999994</v>
      </c>
      <c r="F304" s="2" t="s">
        <v>292</v>
      </c>
      <c r="J304" s="6"/>
    </row>
    <row r="305" spans="1:10">
      <c r="A305" s="7">
        <v>46191</v>
      </c>
      <c r="B305" s="2" t="s">
        <v>302</v>
      </c>
      <c r="C305" s="3">
        <v>25000</v>
      </c>
      <c r="D305" s="3"/>
      <c r="E305" s="6">
        <f t="shared" si="1"/>
        <v>202692.86999999994</v>
      </c>
      <c r="F305" s="2" t="s">
        <v>292</v>
      </c>
      <c r="J305" s="6"/>
    </row>
    <row r="306" spans="1:10">
      <c r="A306" s="7">
        <v>46192</v>
      </c>
      <c r="B306" s="2" t="s">
        <v>175</v>
      </c>
      <c r="C306" s="3">
        <v>24513.09</v>
      </c>
      <c r="D306" s="3"/>
      <c r="E306" s="6">
        <f t="shared" si="1"/>
        <v>178179.77999999994</v>
      </c>
      <c r="F306" s="2" t="s">
        <v>292</v>
      </c>
      <c r="J306" s="6"/>
    </row>
    <row r="307" spans="1:10">
      <c r="A307" s="7">
        <v>46195</v>
      </c>
      <c r="B307" s="2" t="s">
        <v>174</v>
      </c>
      <c r="C307" s="3">
        <v>47804.6</v>
      </c>
      <c r="D307" s="3"/>
      <c r="E307" s="6">
        <f t="shared" si="1"/>
        <v>130375.17999999993</v>
      </c>
      <c r="F307" s="2" t="s">
        <v>292</v>
      </c>
      <c r="J307" s="6"/>
    </row>
    <row r="308" spans="1:10">
      <c r="A308" s="7">
        <v>46195</v>
      </c>
      <c r="B308" s="2" t="s">
        <v>303</v>
      </c>
      <c r="C308" s="3">
        <v>49200</v>
      </c>
      <c r="D308" s="3"/>
      <c r="E308" s="6">
        <f t="shared" si="1"/>
        <v>81175.179999999935</v>
      </c>
      <c r="F308" s="2" t="s">
        <v>292</v>
      </c>
      <c r="J308" s="6"/>
    </row>
    <row r="309" spans="1:10">
      <c r="A309" s="7">
        <v>46195</v>
      </c>
      <c r="B309" s="2" t="s">
        <v>57</v>
      </c>
      <c r="C309" s="3"/>
      <c r="D309" s="3">
        <v>19000</v>
      </c>
      <c r="E309" s="6">
        <f t="shared" si="1"/>
        <v>100175.17999999993</v>
      </c>
      <c r="F309" s="2" t="s">
        <v>292</v>
      </c>
      <c r="J309" s="6"/>
    </row>
    <row r="310" spans="1:10">
      <c r="A310" s="7">
        <v>46195</v>
      </c>
      <c r="B310" s="2" t="s">
        <v>100</v>
      </c>
      <c r="C310" s="3"/>
      <c r="D310" s="3">
        <v>200000</v>
      </c>
      <c r="E310" s="6">
        <f t="shared" si="1"/>
        <v>300175.17999999993</v>
      </c>
      <c r="F310" s="2" t="s">
        <v>292</v>
      </c>
      <c r="J310" s="6"/>
    </row>
    <row r="311" spans="1:10">
      <c r="A311" s="7">
        <v>46195</v>
      </c>
      <c r="B311" s="2" t="s">
        <v>251</v>
      </c>
      <c r="C311" s="3">
        <v>1969.11</v>
      </c>
      <c r="D311" s="3"/>
      <c r="E311" s="6">
        <f t="shared" si="1"/>
        <v>298206.06999999995</v>
      </c>
      <c r="F311" s="2" t="s">
        <v>292</v>
      </c>
      <c r="J311" s="6"/>
    </row>
    <row r="312" spans="1:10">
      <c r="A312" s="7">
        <v>46195</v>
      </c>
      <c r="B312" s="2" t="s">
        <v>303</v>
      </c>
      <c r="C312" s="3">
        <v>45000</v>
      </c>
      <c r="D312" s="3"/>
      <c r="E312" s="6">
        <f t="shared" si="1"/>
        <v>253206.06999999995</v>
      </c>
      <c r="F312" s="2" t="s">
        <v>292</v>
      </c>
      <c r="J312" s="6"/>
    </row>
    <row r="313" spans="1:10">
      <c r="A313" s="7">
        <v>46197</v>
      </c>
      <c r="B313" s="2" t="s">
        <v>304</v>
      </c>
      <c r="C313" s="3">
        <v>84290.72</v>
      </c>
      <c r="D313" s="3"/>
      <c r="E313" s="6">
        <f t="shared" si="1"/>
        <v>168915.34999999995</v>
      </c>
      <c r="F313" s="2" t="s">
        <v>292</v>
      </c>
      <c r="J313" s="6"/>
    </row>
    <row r="314" spans="1:10">
      <c r="A314" s="7">
        <v>46199</v>
      </c>
      <c r="B314" s="2" t="s">
        <v>178</v>
      </c>
      <c r="C314" s="3">
        <v>38928.22</v>
      </c>
      <c r="D314" s="3"/>
      <c r="E314" s="6">
        <f t="shared" si="1"/>
        <v>129987.12999999995</v>
      </c>
      <c r="F314" s="2" t="s">
        <v>292</v>
      </c>
      <c r="J314" s="6"/>
    </row>
    <row r="315" spans="1:10">
      <c r="A315" s="7">
        <v>46195</v>
      </c>
      <c r="B315" s="2" t="s">
        <v>305</v>
      </c>
      <c r="C315" s="3">
        <v>101567</v>
      </c>
      <c r="D315" s="3"/>
      <c r="E315" s="6">
        <f t="shared" si="1"/>
        <v>28420.129999999946</v>
      </c>
      <c r="F315" s="2" t="s">
        <v>292</v>
      </c>
      <c r="J315" s="6"/>
    </row>
    <row r="316" spans="1:10">
      <c r="A316" s="7">
        <v>46196</v>
      </c>
      <c r="B316" s="2" t="s">
        <v>151</v>
      </c>
      <c r="C316" s="3">
        <v>4890</v>
      </c>
      <c r="D316" s="3"/>
      <c r="E316" s="6">
        <f t="shared" si="1"/>
        <v>23530.129999999946</v>
      </c>
      <c r="J316" s="6"/>
    </row>
    <row r="317" spans="1:10">
      <c r="A317" s="7">
        <v>46197</v>
      </c>
      <c r="B317" s="2" t="s">
        <v>100</v>
      </c>
      <c r="C317" s="3"/>
      <c r="D317" s="3">
        <v>19000</v>
      </c>
      <c r="E317" s="6">
        <f t="shared" si="1"/>
        <v>42530.129999999946</v>
      </c>
      <c r="J317" s="6"/>
    </row>
    <row r="318" spans="1:10">
      <c r="A318" s="7"/>
      <c r="B318" s="2"/>
      <c r="C318" s="3"/>
      <c r="D318" s="3"/>
      <c r="E318" s="6"/>
      <c r="J318" s="6"/>
    </row>
    <row r="319" spans="1:10">
      <c r="A319" s="7"/>
      <c r="B319" s="2"/>
      <c r="C319" s="3"/>
      <c r="D319" s="3"/>
      <c r="E319" s="6"/>
      <c r="J319" s="6"/>
    </row>
    <row r="320" spans="1:10">
      <c r="A320" s="7"/>
      <c r="B320" s="2"/>
      <c r="C320" s="3"/>
      <c r="D320" s="3"/>
      <c r="E320" s="6"/>
      <c r="J320" s="6"/>
    </row>
    <row r="321" spans="1:10">
      <c r="A321" s="7"/>
      <c r="B321" s="2"/>
      <c r="C321" s="3"/>
      <c r="D321" s="3"/>
      <c r="E321" s="6"/>
      <c r="J321" s="6"/>
    </row>
    <row r="322" spans="1:10">
      <c r="A322" s="7"/>
      <c r="B322" s="2"/>
      <c r="C322" s="3"/>
      <c r="D322" s="3"/>
      <c r="E322" s="6"/>
      <c r="J322" s="6"/>
    </row>
    <row r="323" spans="1:10">
      <c r="A323" s="7"/>
      <c r="B323" s="2"/>
      <c r="C323" s="3"/>
      <c r="D323" s="3"/>
      <c r="E323" s="6"/>
      <c r="J3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E328"/>
  <sheetViews>
    <sheetView workbookViewId="0"/>
  </sheetViews>
  <sheetFormatPr defaultColWidth="17.28515625" defaultRowHeight="15" customHeight="1"/>
  <cols>
    <col min="1" max="1" width="28.140625" customWidth="1"/>
    <col min="2" max="2" width="15.42578125" customWidth="1"/>
    <col min="3" max="3" width="50.42578125" customWidth="1"/>
    <col min="4" max="4" width="20.85546875" customWidth="1"/>
    <col min="5" max="5" width="18.28515625" customWidth="1"/>
  </cols>
  <sheetData>
    <row r="1" spans="2:5">
      <c r="B1" s="17"/>
      <c r="C1" s="18"/>
      <c r="D1" s="19"/>
      <c r="E1" s="18"/>
    </row>
    <row r="2" spans="2:5">
      <c r="B2" s="20">
        <v>45467</v>
      </c>
      <c r="C2" s="21" t="s">
        <v>306</v>
      </c>
      <c r="D2" s="22">
        <v>5914.05</v>
      </c>
      <c r="E2" s="18"/>
    </row>
    <row r="3" spans="2:5">
      <c r="B3" s="20">
        <v>45476</v>
      </c>
      <c r="C3" s="21" t="s">
        <v>307</v>
      </c>
      <c r="D3" s="22">
        <v>35361.760000000002</v>
      </c>
      <c r="E3" s="18"/>
    </row>
    <row r="4" spans="2:5">
      <c r="B4" s="20">
        <v>45483</v>
      </c>
      <c r="C4" s="21" t="s">
        <v>175</v>
      </c>
      <c r="D4" s="22">
        <v>11855.97</v>
      </c>
      <c r="E4" s="18"/>
    </row>
    <row r="5" spans="2:5">
      <c r="B5" s="20">
        <v>45492</v>
      </c>
      <c r="C5" s="21" t="s">
        <v>306</v>
      </c>
      <c r="D5" s="22">
        <v>5688.05</v>
      </c>
      <c r="E5" s="18"/>
    </row>
    <row r="6" spans="2:5">
      <c r="B6" s="20">
        <v>45506</v>
      </c>
      <c r="C6" s="21" t="s">
        <v>307</v>
      </c>
      <c r="D6" s="23">
        <v>35761.64</v>
      </c>
      <c r="E6" s="18"/>
    </row>
    <row r="7" spans="2:5">
      <c r="B7" s="20">
        <v>45511</v>
      </c>
      <c r="C7" s="21" t="s">
        <v>175</v>
      </c>
      <c r="D7" s="22">
        <v>14420.83</v>
      </c>
      <c r="E7" s="18"/>
    </row>
    <row r="8" spans="2:5">
      <c r="B8" s="17"/>
      <c r="C8" s="18"/>
      <c r="D8" s="19"/>
      <c r="E8" s="18"/>
    </row>
    <row r="9" spans="2:5">
      <c r="B9" s="17"/>
      <c r="C9" s="18"/>
      <c r="D9" s="24">
        <f>SUM(D2:D8)</f>
        <v>109002.3</v>
      </c>
      <c r="E9" s="21" t="s">
        <v>308</v>
      </c>
    </row>
    <row r="10" spans="2:5">
      <c r="B10" s="17"/>
      <c r="C10" s="18"/>
      <c r="D10" s="19"/>
      <c r="E10" s="18"/>
    </row>
    <row r="11" spans="2:5">
      <c r="B11" s="17"/>
      <c r="C11" s="18"/>
      <c r="D11" s="19"/>
      <c r="E11" s="18"/>
    </row>
    <row r="12" spans="2:5">
      <c r="B12" s="20">
        <v>45540</v>
      </c>
      <c r="C12" s="21" t="s">
        <v>175</v>
      </c>
      <c r="D12" s="22">
        <v>16013.7</v>
      </c>
      <c r="E12" s="18"/>
    </row>
    <row r="13" spans="2:5">
      <c r="B13" s="20">
        <v>45547</v>
      </c>
      <c r="C13" s="21" t="s">
        <v>309</v>
      </c>
      <c r="D13" s="23">
        <v>6338.29</v>
      </c>
      <c r="E13" s="18"/>
    </row>
    <row r="14" spans="2:5">
      <c r="B14" s="20">
        <v>45569</v>
      </c>
      <c r="C14" s="21" t="s">
        <v>175</v>
      </c>
      <c r="D14" s="22">
        <v>8432.92</v>
      </c>
      <c r="E14" s="18"/>
    </row>
    <row r="15" spans="2:5">
      <c r="B15" s="17"/>
      <c r="C15" s="18"/>
      <c r="D15" s="25">
        <f>SUM(D12:D14)</f>
        <v>30784.910000000003</v>
      </c>
      <c r="E15" s="21" t="s">
        <v>310</v>
      </c>
    </row>
    <row r="16" spans="2:5">
      <c r="B16" s="17"/>
      <c r="C16" s="18"/>
      <c r="D16" s="19"/>
      <c r="E16" s="18"/>
    </row>
    <row r="17" spans="2:5">
      <c r="B17" s="26">
        <v>45573</v>
      </c>
      <c r="C17" s="27" t="s">
        <v>307</v>
      </c>
      <c r="D17" s="28">
        <v>3054.41</v>
      </c>
      <c r="E17" s="18"/>
    </row>
    <row r="18" spans="2:5">
      <c r="B18" s="26">
        <v>45586</v>
      </c>
      <c r="C18" s="27" t="s">
        <v>311</v>
      </c>
      <c r="D18" s="23">
        <v>9555.17</v>
      </c>
      <c r="E18" s="18"/>
    </row>
    <row r="19" spans="2:5">
      <c r="B19" s="26">
        <v>45600</v>
      </c>
      <c r="C19" s="27" t="s">
        <v>175</v>
      </c>
      <c r="D19" s="28">
        <v>7952.62</v>
      </c>
      <c r="E19" s="18"/>
    </row>
    <row r="20" spans="2:5">
      <c r="B20" s="26">
        <v>45615</v>
      </c>
      <c r="C20" s="27" t="s">
        <v>306</v>
      </c>
      <c r="D20" s="28">
        <v>9237.59</v>
      </c>
      <c r="E20" s="18"/>
    </row>
    <row r="21" spans="2:5">
      <c r="B21" s="26">
        <v>45624</v>
      </c>
      <c r="C21" s="27" t="s">
        <v>312</v>
      </c>
      <c r="D21" s="29">
        <v>18017.55</v>
      </c>
      <c r="E21" s="18"/>
    </row>
    <row r="22" spans="2:5">
      <c r="B22" s="26">
        <v>45624</v>
      </c>
      <c r="C22" s="27" t="s">
        <v>313</v>
      </c>
      <c r="D22" s="29">
        <v>18893.79</v>
      </c>
      <c r="E22" s="18"/>
    </row>
    <row r="23" spans="2:5">
      <c r="B23" s="20">
        <v>45630</v>
      </c>
      <c r="C23" s="21" t="s">
        <v>175</v>
      </c>
      <c r="D23" s="22">
        <v>12853.48</v>
      </c>
      <c r="E23" s="18"/>
    </row>
    <row r="24" spans="2:5">
      <c r="B24" s="17"/>
      <c r="C24" s="18"/>
      <c r="D24" s="19"/>
      <c r="E24" s="18"/>
    </row>
    <row r="25" spans="2:5">
      <c r="B25" s="17"/>
      <c r="C25" s="18"/>
      <c r="D25" s="25">
        <f>SUM(D17:D23)</f>
        <v>79564.61</v>
      </c>
      <c r="E25" s="21" t="s">
        <v>314</v>
      </c>
    </row>
    <row r="26" spans="2:5">
      <c r="B26" s="7"/>
      <c r="D26" s="30"/>
    </row>
    <row r="27" spans="2:5">
      <c r="B27" s="7"/>
      <c r="D27" s="30"/>
    </row>
    <row r="28" spans="2:5">
      <c r="B28" s="17">
        <v>45643</v>
      </c>
      <c r="C28" s="21" t="s">
        <v>315</v>
      </c>
      <c r="D28" s="23">
        <v>7040.48</v>
      </c>
    </row>
    <row r="29" spans="2:5">
      <c r="B29" s="20">
        <v>45656</v>
      </c>
      <c r="C29" s="21" t="s">
        <v>316</v>
      </c>
      <c r="D29" s="22">
        <v>14999</v>
      </c>
    </row>
    <row r="30" spans="2:5">
      <c r="B30" s="20">
        <v>45298</v>
      </c>
      <c r="C30" s="21" t="s">
        <v>175</v>
      </c>
      <c r="D30" s="22">
        <v>13648.67</v>
      </c>
    </row>
    <row r="31" spans="2:5">
      <c r="B31" s="20">
        <v>45671</v>
      </c>
      <c r="C31" s="21" t="s">
        <v>317</v>
      </c>
      <c r="D31" s="23">
        <v>40343.410000000003</v>
      </c>
    </row>
    <row r="32" spans="2:5">
      <c r="B32" s="20">
        <v>45677</v>
      </c>
      <c r="C32" s="21" t="s">
        <v>318</v>
      </c>
      <c r="D32" s="23">
        <v>6780.44</v>
      </c>
    </row>
    <row r="33" spans="2:5">
      <c r="B33" s="20">
        <v>45691</v>
      </c>
      <c r="C33" s="21" t="s">
        <v>175</v>
      </c>
      <c r="D33" s="22">
        <v>14851.64</v>
      </c>
    </row>
    <row r="34" spans="2:5">
      <c r="B34" s="7"/>
      <c r="D34" s="25">
        <f>SUM(D28:D32)</f>
        <v>82812</v>
      </c>
      <c r="E34" s="2" t="s">
        <v>319</v>
      </c>
    </row>
    <row r="35" spans="2:5">
      <c r="B35" s="7"/>
      <c r="D35" s="30"/>
    </row>
    <row r="36" spans="2:5">
      <c r="B36" s="7"/>
      <c r="D36" s="30"/>
    </row>
    <row r="37" spans="2:5">
      <c r="B37" s="7"/>
      <c r="D37" s="30"/>
    </row>
    <row r="38" spans="2:5">
      <c r="B38" s="20">
        <v>45702</v>
      </c>
      <c r="C38" s="21" t="s">
        <v>320</v>
      </c>
      <c r="D38" s="22">
        <v>39148.25</v>
      </c>
    </row>
    <row r="39" spans="2:5">
      <c r="B39" s="20">
        <v>45705</v>
      </c>
      <c r="C39" s="21" t="s">
        <v>321</v>
      </c>
      <c r="D39" s="22">
        <v>6472.04</v>
      </c>
      <c r="E39" s="2" t="s">
        <v>122</v>
      </c>
    </row>
    <row r="40" spans="2:5">
      <c r="B40" s="20">
        <v>45723</v>
      </c>
      <c r="C40" s="21" t="s">
        <v>175</v>
      </c>
      <c r="D40" s="22">
        <v>14076</v>
      </c>
      <c r="E40" s="6"/>
    </row>
    <row r="41" spans="2:5">
      <c r="B41" s="20">
        <v>45727</v>
      </c>
      <c r="C41" s="21" t="s">
        <v>322</v>
      </c>
      <c r="D41" s="22">
        <v>6334.08</v>
      </c>
    </row>
    <row r="42" spans="2:5">
      <c r="B42" s="20">
        <v>45728</v>
      </c>
      <c r="C42" s="21" t="s">
        <v>175</v>
      </c>
      <c r="D42" s="22">
        <v>14167.38</v>
      </c>
    </row>
    <row r="43" spans="2:5">
      <c r="B43" s="20">
        <v>45747</v>
      </c>
      <c r="C43" s="21" t="s">
        <v>323</v>
      </c>
      <c r="D43" s="22">
        <v>40716.620000000003</v>
      </c>
    </row>
    <row r="44" spans="2:5">
      <c r="B44" s="20">
        <v>45747</v>
      </c>
      <c r="C44" s="21" t="s">
        <v>324</v>
      </c>
      <c r="D44" s="22">
        <v>49055.49</v>
      </c>
    </row>
    <row r="45" spans="2:5">
      <c r="B45" s="20">
        <v>45755</v>
      </c>
      <c r="C45" s="21" t="s">
        <v>175</v>
      </c>
      <c r="D45" s="22">
        <v>14969.79</v>
      </c>
    </row>
    <row r="46" spans="2:5">
      <c r="B46" s="7"/>
      <c r="D46" s="25">
        <f>SUM(D38:D45)</f>
        <v>184939.65</v>
      </c>
      <c r="E46" s="2" t="s">
        <v>319</v>
      </c>
    </row>
    <row r="47" spans="2:5">
      <c r="B47" s="7"/>
      <c r="D47" s="30"/>
    </row>
    <row r="48" spans="2:5">
      <c r="B48" s="31">
        <v>45768</v>
      </c>
      <c r="C48" s="12" t="s">
        <v>325</v>
      </c>
      <c r="D48" s="13">
        <v>5822.57</v>
      </c>
    </row>
    <row r="49" spans="2:5">
      <c r="B49" s="31">
        <v>45785</v>
      </c>
      <c r="C49" s="12" t="s">
        <v>175</v>
      </c>
      <c r="D49" s="13">
        <v>15590.94</v>
      </c>
    </row>
    <row r="50" spans="2:5">
      <c r="B50" s="31">
        <v>45786</v>
      </c>
      <c r="C50" s="12" t="s">
        <v>326</v>
      </c>
      <c r="D50" s="32">
        <v>59523.11</v>
      </c>
    </row>
    <row r="51" spans="2:5">
      <c r="B51" s="31">
        <v>45796</v>
      </c>
      <c r="C51" s="12" t="s">
        <v>327</v>
      </c>
      <c r="D51" s="33">
        <v>5533.33</v>
      </c>
    </row>
    <row r="52" spans="2:5">
      <c r="B52" s="7"/>
      <c r="D52" s="34">
        <f>SUM(D48:D51)</f>
        <v>86469.95</v>
      </c>
      <c r="E52" s="2" t="s">
        <v>319</v>
      </c>
    </row>
    <row r="53" spans="2:5">
      <c r="B53" s="7"/>
      <c r="D53" s="30"/>
    </row>
    <row r="54" spans="2:5">
      <c r="B54" s="7"/>
      <c r="D54" s="30"/>
    </row>
    <row r="55" spans="2:5">
      <c r="B55" s="26">
        <v>45812</v>
      </c>
      <c r="C55" s="27" t="s">
        <v>175</v>
      </c>
      <c r="D55" s="28">
        <v>12733.33</v>
      </c>
    </row>
    <row r="56" spans="2:5">
      <c r="B56" s="26">
        <v>45818</v>
      </c>
      <c r="C56" s="27" t="s">
        <v>328</v>
      </c>
      <c r="D56" s="23">
        <v>54957.56</v>
      </c>
    </row>
    <row r="57" spans="2:5">
      <c r="B57" s="26">
        <v>45825</v>
      </c>
      <c r="C57" s="35" t="s">
        <v>329</v>
      </c>
      <c r="D57" s="23">
        <v>7070.08</v>
      </c>
    </row>
    <row r="58" spans="2:5">
      <c r="B58" s="7"/>
      <c r="D58" s="34">
        <f>SUM(D54:D57)</f>
        <v>74760.97</v>
      </c>
    </row>
    <row r="59" spans="2:5">
      <c r="B59" s="7"/>
      <c r="D59" s="30"/>
    </row>
    <row r="60" spans="2:5">
      <c r="B60" s="7"/>
      <c r="D60" s="30"/>
    </row>
    <row r="61" spans="2:5">
      <c r="B61" s="20">
        <v>45842</v>
      </c>
      <c r="C61" s="21" t="s">
        <v>330</v>
      </c>
      <c r="D61" s="22">
        <v>13925.35</v>
      </c>
      <c r="E61" s="6"/>
    </row>
    <row r="62" spans="2:5">
      <c r="B62" s="20">
        <v>45853</v>
      </c>
      <c r="C62" s="21" t="s">
        <v>331</v>
      </c>
      <c r="D62" s="22">
        <v>6751.94</v>
      </c>
    </row>
    <row r="63" spans="2:5">
      <c r="B63" s="20">
        <v>45855</v>
      </c>
      <c r="C63" s="21" t="s">
        <v>332</v>
      </c>
      <c r="D63" s="23">
        <v>77257.490000000005</v>
      </c>
    </row>
    <row r="64" spans="2:5">
      <c r="B64" s="20">
        <v>45870</v>
      </c>
      <c r="C64" s="21" t="s">
        <v>175</v>
      </c>
      <c r="D64" s="22">
        <v>17900.98</v>
      </c>
    </row>
    <row r="65" spans="2:5">
      <c r="B65" s="20">
        <v>45887</v>
      </c>
      <c r="C65" s="21" t="s">
        <v>333</v>
      </c>
      <c r="D65" s="22">
        <v>15380.85</v>
      </c>
    </row>
    <row r="66" spans="2:5">
      <c r="B66" s="7"/>
      <c r="D66" s="36">
        <f>SUM(D61:D65)</f>
        <v>131216.60999999999</v>
      </c>
      <c r="E66" s="2" t="s">
        <v>319</v>
      </c>
    </row>
    <row r="67" spans="2:5">
      <c r="B67" s="7"/>
      <c r="D67" s="30"/>
    </row>
    <row r="68" spans="2:5">
      <c r="B68" s="7"/>
      <c r="D68" s="30"/>
    </row>
    <row r="69" spans="2:5">
      <c r="B69" s="7"/>
      <c r="D69" s="30"/>
    </row>
    <row r="70" spans="2:5">
      <c r="B70" s="17">
        <v>45880</v>
      </c>
      <c r="C70" s="27" t="s">
        <v>334</v>
      </c>
      <c r="D70" s="23">
        <v>80193</v>
      </c>
    </row>
    <row r="71" spans="2:5">
      <c r="B71" s="37">
        <v>45902</v>
      </c>
      <c r="C71" s="27" t="s">
        <v>175</v>
      </c>
      <c r="D71" s="38">
        <v>14799.16</v>
      </c>
    </row>
    <row r="72" spans="2:5">
      <c r="B72" s="20">
        <v>45910</v>
      </c>
      <c r="C72" s="21" t="s">
        <v>335</v>
      </c>
      <c r="D72" s="22">
        <v>42245.25</v>
      </c>
    </row>
    <row r="73" spans="2:5">
      <c r="B73" s="7"/>
      <c r="D73" s="34">
        <f>SUM(D70:D72)</f>
        <v>137237.41</v>
      </c>
      <c r="E73" s="2" t="s">
        <v>336</v>
      </c>
    </row>
    <row r="74" spans="2:5">
      <c r="B74" s="7"/>
      <c r="D74" s="30"/>
    </row>
    <row r="75" spans="2:5">
      <c r="B75" s="26">
        <v>45915</v>
      </c>
      <c r="C75" s="27" t="s">
        <v>337</v>
      </c>
      <c r="D75" s="29">
        <v>15186.94</v>
      </c>
    </row>
    <row r="76" spans="2:5">
      <c r="B76" s="37">
        <v>45930</v>
      </c>
      <c r="C76" s="27" t="s">
        <v>175</v>
      </c>
      <c r="D76" s="38">
        <v>28856.84</v>
      </c>
    </row>
    <row r="77" spans="2:5">
      <c r="B77" s="26">
        <v>45939</v>
      </c>
      <c r="C77" s="27" t="s">
        <v>307</v>
      </c>
      <c r="D77" s="23">
        <v>42548.5</v>
      </c>
    </row>
    <row r="78" spans="2:5">
      <c r="B78" s="7"/>
      <c r="D78" s="34">
        <f>SUM(D75:D77)</f>
        <v>86592.28</v>
      </c>
      <c r="E78" s="2" t="s">
        <v>338</v>
      </c>
    </row>
    <row r="79" spans="2:5">
      <c r="B79" s="7"/>
      <c r="D79" s="30"/>
    </row>
    <row r="80" spans="2:5">
      <c r="B80" s="7"/>
      <c r="D80" s="30"/>
    </row>
    <row r="81" spans="2:5">
      <c r="B81" s="26">
        <v>45947</v>
      </c>
      <c r="C81" s="27" t="s">
        <v>339</v>
      </c>
      <c r="D81" s="29">
        <v>13122.2</v>
      </c>
    </row>
    <row r="82" spans="2:5">
      <c r="B82" s="26">
        <v>45960</v>
      </c>
      <c r="C82" s="27" t="s">
        <v>340</v>
      </c>
      <c r="D82" s="29">
        <v>29856.15</v>
      </c>
    </row>
    <row r="83" spans="2:5">
      <c r="B83" s="26">
        <v>45971</v>
      </c>
      <c r="C83" s="27" t="s">
        <v>341</v>
      </c>
      <c r="D83" s="29">
        <v>43509.38</v>
      </c>
    </row>
    <row r="84" spans="2:5">
      <c r="B84" s="7"/>
      <c r="D84" s="34">
        <f>SUM(D81:D83)</f>
        <v>86487.73000000001</v>
      </c>
      <c r="E84" s="2" t="s">
        <v>319</v>
      </c>
    </row>
    <row r="85" spans="2:5">
      <c r="B85" s="7"/>
      <c r="D85" s="30"/>
    </row>
    <row r="86" spans="2:5">
      <c r="B86" s="37">
        <v>45978</v>
      </c>
      <c r="C86" s="27" t="s">
        <v>337</v>
      </c>
      <c r="D86" s="23">
        <v>13194.05</v>
      </c>
    </row>
    <row r="87" spans="2:5">
      <c r="B87" s="37">
        <v>45990</v>
      </c>
      <c r="C87" s="27" t="s">
        <v>342</v>
      </c>
      <c r="D87" s="38">
        <v>14224.51</v>
      </c>
    </row>
    <row r="88" spans="2:5">
      <c r="B88" s="37">
        <v>46000</v>
      </c>
      <c r="C88" s="27" t="s">
        <v>316</v>
      </c>
      <c r="D88" s="23">
        <v>45029</v>
      </c>
    </row>
    <row r="89" spans="2:5">
      <c r="B89" s="39">
        <v>46006</v>
      </c>
      <c r="C89" s="12" t="s">
        <v>343</v>
      </c>
      <c r="D89" s="23">
        <v>9487.3700000000008</v>
      </c>
    </row>
    <row r="90" spans="2:5">
      <c r="B90" s="39">
        <v>46023</v>
      </c>
      <c r="C90" s="12" t="s">
        <v>141</v>
      </c>
      <c r="D90" s="23">
        <v>15312.8</v>
      </c>
    </row>
    <row r="91" spans="2:5">
      <c r="B91" s="39">
        <v>46031</v>
      </c>
      <c r="C91" s="12" t="s">
        <v>344</v>
      </c>
      <c r="D91" s="23">
        <v>46679.87</v>
      </c>
    </row>
    <row r="92" spans="2:5">
      <c r="B92" s="7">
        <v>46038</v>
      </c>
      <c r="C92" s="2" t="s">
        <v>170</v>
      </c>
      <c r="D92" s="23">
        <v>9196.59</v>
      </c>
    </row>
    <row r="93" spans="2:5">
      <c r="B93" s="7">
        <v>46043</v>
      </c>
      <c r="C93" s="2" t="s">
        <v>175</v>
      </c>
      <c r="D93" s="3">
        <v>13807.79</v>
      </c>
    </row>
    <row r="94" spans="2:5">
      <c r="B94" s="7"/>
      <c r="D94" s="34">
        <f>SUM(D86:D93)</f>
        <v>166931.98000000001</v>
      </c>
      <c r="E94" s="2" t="s">
        <v>319</v>
      </c>
    </row>
    <row r="95" spans="2:5">
      <c r="B95" s="7"/>
      <c r="D95" s="30"/>
    </row>
    <row r="96" spans="2:5">
      <c r="B96" s="7"/>
      <c r="D96" s="30"/>
    </row>
    <row r="97" spans="2:5">
      <c r="B97" s="7">
        <v>46062</v>
      </c>
      <c r="C97" s="2" t="s">
        <v>191</v>
      </c>
      <c r="D97" s="33">
        <v>47979.87</v>
      </c>
    </row>
    <row r="98" spans="2:5">
      <c r="B98" s="7">
        <v>46071</v>
      </c>
      <c r="C98" s="2" t="s">
        <v>196</v>
      </c>
      <c r="D98" s="33">
        <v>8366.82</v>
      </c>
    </row>
    <row r="99" spans="2:5">
      <c r="B99" s="7">
        <v>46073</v>
      </c>
      <c r="C99" s="2" t="s">
        <v>175</v>
      </c>
      <c r="D99" s="3">
        <v>26034.93</v>
      </c>
    </row>
    <row r="100" spans="2:5">
      <c r="B100" s="7">
        <v>46091</v>
      </c>
      <c r="C100" s="2" t="s">
        <v>345</v>
      </c>
      <c r="D100" s="3">
        <v>56793</v>
      </c>
    </row>
    <row r="101" spans="2:5">
      <c r="B101" s="7">
        <v>46099</v>
      </c>
      <c r="C101" s="2" t="s">
        <v>219</v>
      </c>
      <c r="D101" s="3">
        <v>8426.2099999999991</v>
      </c>
    </row>
    <row r="102" spans="2:5">
      <c r="B102" s="7"/>
      <c r="D102" s="34">
        <f>SUM(D97:D101)</f>
        <v>147600.82999999999</v>
      </c>
      <c r="E102" s="2" t="s">
        <v>319</v>
      </c>
    </row>
    <row r="103" spans="2:5">
      <c r="B103" s="7"/>
      <c r="D103" s="30"/>
    </row>
    <row r="104" spans="2:5">
      <c r="B104" s="7">
        <v>46106</v>
      </c>
      <c r="C104" s="2" t="s">
        <v>175</v>
      </c>
      <c r="D104" s="3">
        <v>22667.07</v>
      </c>
    </row>
    <row r="105" spans="2:5">
      <c r="B105" s="7">
        <v>46121</v>
      </c>
      <c r="C105" s="2" t="s">
        <v>243</v>
      </c>
      <c r="D105" s="33">
        <v>56793</v>
      </c>
    </row>
    <row r="106" spans="2:5">
      <c r="B106" s="7">
        <v>46132</v>
      </c>
      <c r="C106" s="2" t="s">
        <v>252</v>
      </c>
      <c r="D106" s="33">
        <v>8952.93</v>
      </c>
    </row>
    <row r="107" spans="2:5">
      <c r="B107" s="7">
        <v>46134</v>
      </c>
      <c r="C107" s="2" t="s">
        <v>175</v>
      </c>
      <c r="D107" s="3">
        <v>17325.79</v>
      </c>
    </row>
    <row r="108" spans="2:5">
      <c r="B108" s="16">
        <v>46153</v>
      </c>
      <c r="C108" s="2" t="s">
        <v>243</v>
      </c>
      <c r="D108" s="33">
        <v>56793</v>
      </c>
    </row>
    <row r="109" spans="2:5">
      <c r="B109" s="16">
        <v>46160</v>
      </c>
      <c r="C109" s="2" t="s">
        <v>270</v>
      </c>
      <c r="D109" s="5">
        <v>8949.06</v>
      </c>
    </row>
    <row r="110" spans="2:5">
      <c r="B110" s="16">
        <v>46162</v>
      </c>
      <c r="C110" s="2" t="s">
        <v>175</v>
      </c>
      <c r="D110" s="5">
        <v>16551.439999999999</v>
      </c>
    </row>
    <row r="111" spans="2:5">
      <c r="B111" s="7"/>
      <c r="D111" s="34">
        <f>SUM(D104:D110)</f>
        <v>188032.29</v>
      </c>
    </row>
    <row r="112" spans="2:5">
      <c r="B112" s="7"/>
      <c r="D112" s="30"/>
    </row>
    <row r="113" spans="2:4">
      <c r="B113" s="7"/>
      <c r="D113" s="30"/>
    </row>
    <row r="114" spans="2:4">
      <c r="B114" s="7"/>
      <c r="D114" s="30"/>
    </row>
    <row r="115" spans="2:4">
      <c r="B115" s="7"/>
      <c r="D115" s="30"/>
    </row>
    <row r="116" spans="2:4">
      <c r="B116" s="7"/>
      <c r="D116" s="30"/>
    </row>
    <row r="117" spans="2:4">
      <c r="B117" s="7"/>
      <c r="D117" s="30"/>
    </row>
    <row r="118" spans="2:4">
      <c r="B118" s="7"/>
      <c r="D118" s="30"/>
    </row>
    <row r="119" spans="2:4">
      <c r="B119" s="7"/>
      <c r="D119" s="30"/>
    </row>
    <row r="120" spans="2:4">
      <c r="B120" s="7"/>
      <c r="D120" s="30"/>
    </row>
    <row r="121" spans="2:4">
      <c r="B121" s="7"/>
      <c r="D121" s="30"/>
    </row>
    <row r="122" spans="2:4">
      <c r="B122" s="7"/>
      <c r="D122" s="30"/>
    </row>
    <row r="123" spans="2:4">
      <c r="B123" s="7"/>
      <c r="D123" s="30"/>
    </row>
    <row r="124" spans="2:4">
      <c r="B124" s="7"/>
      <c r="D124" s="30"/>
    </row>
    <row r="125" spans="2:4">
      <c r="B125" s="7"/>
      <c r="D125" s="30"/>
    </row>
    <row r="126" spans="2:4">
      <c r="B126" s="7"/>
      <c r="D126" s="30"/>
    </row>
    <row r="127" spans="2:4">
      <c r="B127" s="7"/>
      <c r="D127" s="30"/>
    </row>
    <row r="128" spans="2:4">
      <c r="B128" s="7"/>
      <c r="D128" s="30"/>
    </row>
    <row r="129" spans="2:4">
      <c r="B129" s="7"/>
      <c r="D129" s="30"/>
    </row>
    <row r="130" spans="2:4">
      <c r="B130" s="7"/>
      <c r="D130" s="30"/>
    </row>
    <row r="131" spans="2:4">
      <c r="B131" s="7"/>
      <c r="D131" s="30"/>
    </row>
    <row r="132" spans="2:4">
      <c r="B132" s="7"/>
      <c r="D132" s="30"/>
    </row>
    <row r="133" spans="2:4">
      <c r="B133" s="7"/>
      <c r="D133" s="30"/>
    </row>
    <row r="134" spans="2:4">
      <c r="B134" s="7"/>
      <c r="D134" s="30"/>
    </row>
    <row r="135" spans="2:4">
      <c r="B135" s="7"/>
      <c r="D135" s="30"/>
    </row>
    <row r="136" spans="2:4">
      <c r="B136" s="7"/>
      <c r="D136" s="30"/>
    </row>
    <row r="137" spans="2:4">
      <c r="B137" s="7"/>
      <c r="D137" s="30"/>
    </row>
    <row r="138" spans="2:4">
      <c r="B138" s="7"/>
      <c r="D138" s="30"/>
    </row>
    <row r="139" spans="2:4">
      <c r="B139" s="7"/>
      <c r="D139" s="30"/>
    </row>
    <row r="140" spans="2:4">
      <c r="B140" s="7"/>
      <c r="D140" s="30"/>
    </row>
    <row r="141" spans="2:4">
      <c r="B141" s="7"/>
      <c r="D141" s="30"/>
    </row>
    <row r="142" spans="2:4">
      <c r="B142" s="7"/>
      <c r="D142" s="30"/>
    </row>
    <row r="143" spans="2:4">
      <c r="B143" s="7"/>
      <c r="D143" s="30"/>
    </row>
    <row r="144" spans="2:4">
      <c r="B144" s="7"/>
      <c r="D144" s="30"/>
    </row>
    <row r="145" spans="2:4">
      <c r="B145" s="7"/>
      <c r="D145" s="30"/>
    </row>
    <row r="146" spans="2:4">
      <c r="B146" s="7"/>
      <c r="D146" s="30"/>
    </row>
    <row r="147" spans="2:4">
      <c r="B147" s="7"/>
      <c r="D147" s="30"/>
    </row>
    <row r="148" spans="2:4">
      <c r="B148" s="7"/>
      <c r="D148" s="30"/>
    </row>
    <row r="149" spans="2:4">
      <c r="B149" s="7"/>
      <c r="D149" s="30"/>
    </row>
    <row r="150" spans="2:4">
      <c r="B150" s="7"/>
      <c r="D150" s="30"/>
    </row>
    <row r="151" spans="2:4">
      <c r="B151" s="7"/>
      <c r="D151" s="30"/>
    </row>
    <row r="152" spans="2:4">
      <c r="B152" s="7"/>
      <c r="D152" s="30"/>
    </row>
    <row r="153" spans="2:4">
      <c r="B153" s="7"/>
      <c r="D153" s="30"/>
    </row>
    <row r="154" spans="2:4">
      <c r="B154" s="7"/>
      <c r="D154" s="30"/>
    </row>
    <row r="155" spans="2:4">
      <c r="B155" s="7"/>
      <c r="D155" s="30"/>
    </row>
    <row r="156" spans="2:4">
      <c r="B156" s="7"/>
      <c r="D156" s="30"/>
    </row>
    <row r="157" spans="2:4">
      <c r="B157" s="7"/>
      <c r="D157" s="30"/>
    </row>
    <row r="158" spans="2:4">
      <c r="B158" s="7"/>
      <c r="D158" s="30"/>
    </row>
    <row r="159" spans="2:4">
      <c r="B159" s="7"/>
      <c r="D159" s="30"/>
    </row>
    <row r="160" spans="2:4">
      <c r="B160" s="7"/>
      <c r="D160" s="30"/>
    </row>
    <row r="161" spans="2:4">
      <c r="B161" s="7"/>
      <c r="D161" s="30"/>
    </row>
    <row r="162" spans="2:4">
      <c r="B162" s="7"/>
      <c r="D162" s="30"/>
    </row>
    <row r="163" spans="2:4">
      <c r="B163" s="7"/>
      <c r="D163" s="30"/>
    </row>
    <row r="164" spans="2:4">
      <c r="B164" s="7"/>
      <c r="D164" s="30"/>
    </row>
    <row r="165" spans="2:4">
      <c r="B165" s="7"/>
      <c r="D165" s="30"/>
    </row>
    <row r="166" spans="2:4">
      <c r="B166" s="7"/>
      <c r="D166" s="30"/>
    </row>
    <row r="167" spans="2:4">
      <c r="B167" s="7"/>
      <c r="D167" s="30"/>
    </row>
    <row r="168" spans="2:4">
      <c r="B168" s="7"/>
      <c r="D168" s="30"/>
    </row>
    <row r="169" spans="2:4">
      <c r="B169" s="7"/>
      <c r="D169" s="30"/>
    </row>
    <row r="170" spans="2:4">
      <c r="B170" s="7"/>
      <c r="D170" s="30"/>
    </row>
    <row r="171" spans="2:4">
      <c r="B171" s="7"/>
      <c r="D171" s="30"/>
    </row>
    <row r="172" spans="2:4">
      <c r="B172" s="7"/>
      <c r="D172" s="30"/>
    </row>
    <row r="173" spans="2:4">
      <c r="B173" s="7"/>
      <c r="D173" s="30"/>
    </row>
    <row r="174" spans="2:4">
      <c r="B174" s="7"/>
      <c r="D174" s="30"/>
    </row>
    <row r="175" spans="2:4">
      <c r="B175" s="7"/>
      <c r="D175" s="30"/>
    </row>
    <row r="176" spans="2:4">
      <c r="B176" s="7"/>
      <c r="D176" s="30"/>
    </row>
    <row r="177" spans="2:4">
      <c r="B177" s="7"/>
      <c r="D177" s="30"/>
    </row>
    <row r="178" spans="2:4">
      <c r="B178" s="7"/>
      <c r="D178" s="30"/>
    </row>
    <row r="179" spans="2:4">
      <c r="B179" s="7"/>
      <c r="D179" s="30"/>
    </row>
    <row r="180" spans="2:4">
      <c r="B180" s="7"/>
      <c r="D180" s="30"/>
    </row>
    <row r="181" spans="2:4">
      <c r="B181" s="7"/>
      <c r="D181" s="30"/>
    </row>
    <row r="182" spans="2:4">
      <c r="B182" s="7"/>
      <c r="D182" s="30"/>
    </row>
    <row r="183" spans="2:4">
      <c r="B183" s="7"/>
      <c r="D183" s="30"/>
    </row>
    <row r="184" spans="2:4">
      <c r="B184" s="7"/>
      <c r="D184" s="30"/>
    </row>
    <row r="185" spans="2:4">
      <c r="B185" s="7"/>
      <c r="D185" s="30"/>
    </row>
    <row r="186" spans="2:4">
      <c r="B186" s="7"/>
      <c r="D186" s="30"/>
    </row>
    <row r="187" spans="2:4">
      <c r="B187" s="7"/>
      <c r="D187" s="30"/>
    </row>
    <row r="188" spans="2:4">
      <c r="B188" s="7"/>
      <c r="D188" s="30"/>
    </row>
    <row r="189" spans="2:4">
      <c r="B189" s="7"/>
      <c r="D189" s="30"/>
    </row>
    <row r="190" spans="2:4">
      <c r="B190" s="7"/>
      <c r="D190" s="30"/>
    </row>
    <row r="191" spans="2:4">
      <c r="B191" s="7"/>
      <c r="D191" s="30"/>
    </row>
    <row r="192" spans="2:4">
      <c r="B192" s="7"/>
      <c r="D192" s="30"/>
    </row>
    <row r="193" spans="2:4">
      <c r="B193" s="7"/>
      <c r="D193" s="30"/>
    </row>
    <row r="194" spans="2:4">
      <c r="B194" s="7"/>
      <c r="D194" s="30"/>
    </row>
    <row r="195" spans="2:4">
      <c r="B195" s="7"/>
      <c r="D195" s="30"/>
    </row>
    <row r="196" spans="2:4">
      <c r="B196" s="7"/>
      <c r="D196" s="30"/>
    </row>
    <row r="197" spans="2:4">
      <c r="B197" s="7"/>
      <c r="D197" s="30"/>
    </row>
    <row r="198" spans="2:4">
      <c r="B198" s="7"/>
      <c r="D198" s="30"/>
    </row>
    <row r="199" spans="2:4">
      <c r="B199" s="7"/>
      <c r="D199" s="30"/>
    </row>
    <row r="200" spans="2:4">
      <c r="B200" s="7"/>
      <c r="D200" s="30"/>
    </row>
    <row r="201" spans="2:4">
      <c r="B201" s="7"/>
      <c r="D201" s="30"/>
    </row>
    <row r="202" spans="2:4">
      <c r="B202" s="7"/>
      <c r="D202" s="30"/>
    </row>
    <row r="203" spans="2:4">
      <c r="B203" s="7"/>
      <c r="D203" s="30"/>
    </row>
    <row r="204" spans="2:4">
      <c r="B204" s="7"/>
      <c r="D204" s="30"/>
    </row>
    <row r="205" spans="2:4">
      <c r="B205" s="7"/>
      <c r="D205" s="30"/>
    </row>
    <row r="206" spans="2:4">
      <c r="B206" s="7"/>
      <c r="D206" s="30"/>
    </row>
    <row r="207" spans="2:4">
      <c r="B207" s="7"/>
      <c r="D207" s="30"/>
    </row>
    <row r="208" spans="2:4">
      <c r="B208" s="7"/>
      <c r="D208" s="30"/>
    </row>
    <row r="209" spans="2:4">
      <c r="B209" s="7"/>
      <c r="D209" s="30"/>
    </row>
    <row r="210" spans="2:4">
      <c r="B210" s="7"/>
      <c r="D210" s="30"/>
    </row>
    <row r="211" spans="2:4">
      <c r="B211" s="7"/>
      <c r="D211" s="30"/>
    </row>
    <row r="212" spans="2:4">
      <c r="B212" s="7"/>
      <c r="D212" s="30"/>
    </row>
    <row r="213" spans="2:4">
      <c r="B213" s="7"/>
      <c r="D213" s="30"/>
    </row>
    <row r="214" spans="2:4">
      <c r="B214" s="7"/>
      <c r="D214" s="30"/>
    </row>
    <row r="215" spans="2:4">
      <c r="B215" s="7"/>
      <c r="D215" s="30"/>
    </row>
    <row r="216" spans="2:4">
      <c r="B216" s="7"/>
      <c r="D216" s="30"/>
    </row>
    <row r="217" spans="2:4">
      <c r="B217" s="7"/>
      <c r="D217" s="30"/>
    </row>
    <row r="218" spans="2:4">
      <c r="B218" s="7"/>
      <c r="D218" s="30"/>
    </row>
    <row r="219" spans="2:4">
      <c r="B219" s="7"/>
      <c r="D219" s="30"/>
    </row>
    <row r="220" spans="2:4">
      <c r="B220" s="7"/>
      <c r="D220" s="30"/>
    </row>
    <row r="221" spans="2:4">
      <c r="B221" s="7"/>
      <c r="D221" s="30"/>
    </row>
    <row r="222" spans="2:4">
      <c r="B222" s="7"/>
      <c r="D222" s="30"/>
    </row>
    <row r="223" spans="2:4">
      <c r="B223" s="7"/>
      <c r="D223" s="30"/>
    </row>
    <row r="224" spans="2:4">
      <c r="B224" s="7"/>
      <c r="D224" s="30"/>
    </row>
    <row r="225" spans="2:4">
      <c r="B225" s="7"/>
      <c r="D225" s="30"/>
    </row>
    <row r="226" spans="2:4">
      <c r="B226" s="7"/>
      <c r="D226" s="30"/>
    </row>
    <row r="227" spans="2:4">
      <c r="B227" s="7"/>
      <c r="D227" s="30"/>
    </row>
    <row r="228" spans="2:4">
      <c r="B228" s="7"/>
      <c r="D228" s="30"/>
    </row>
    <row r="229" spans="2:4">
      <c r="B229" s="7"/>
      <c r="D229" s="30"/>
    </row>
    <row r="230" spans="2:4">
      <c r="B230" s="7"/>
      <c r="D230" s="30"/>
    </row>
    <row r="231" spans="2:4">
      <c r="B231" s="7"/>
      <c r="D231" s="30"/>
    </row>
    <row r="232" spans="2:4">
      <c r="B232" s="7"/>
      <c r="D232" s="30"/>
    </row>
    <row r="233" spans="2:4">
      <c r="B233" s="7"/>
      <c r="D233" s="30"/>
    </row>
    <row r="234" spans="2:4">
      <c r="B234" s="7"/>
      <c r="D234" s="30"/>
    </row>
    <row r="235" spans="2:4">
      <c r="B235" s="7"/>
      <c r="D235" s="30"/>
    </row>
    <row r="236" spans="2:4">
      <c r="B236" s="7"/>
      <c r="D236" s="30"/>
    </row>
    <row r="237" spans="2:4">
      <c r="B237" s="7"/>
      <c r="D237" s="30"/>
    </row>
    <row r="238" spans="2:4">
      <c r="B238" s="7"/>
      <c r="D238" s="30"/>
    </row>
    <row r="239" spans="2:4">
      <c r="B239" s="7"/>
      <c r="D239" s="30"/>
    </row>
    <row r="240" spans="2:4">
      <c r="B240" s="7"/>
      <c r="D240" s="30"/>
    </row>
    <row r="241" spans="2:4">
      <c r="B241" s="7"/>
      <c r="D241" s="30"/>
    </row>
    <row r="242" spans="2:4">
      <c r="B242" s="7"/>
      <c r="D242" s="30"/>
    </row>
    <row r="243" spans="2:4">
      <c r="B243" s="7"/>
      <c r="D243" s="30"/>
    </row>
    <row r="244" spans="2:4">
      <c r="B244" s="7"/>
      <c r="D244" s="30"/>
    </row>
    <row r="245" spans="2:4">
      <c r="B245" s="7"/>
      <c r="D245" s="30"/>
    </row>
    <row r="246" spans="2:4">
      <c r="B246" s="7"/>
      <c r="D246" s="30"/>
    </row>
    <row r="247" spans="2:4">
      <c r="B247" s="7"/>
      <c r="D247" s="30"/>
    </row>
    <row r="248" spans="2:4">
      <c r="B248" s="7"/>
      <c r="D248" s="30"/>
    </row>
    <row r="249" spans="2:4">
      <c r="B249" s="7"/>
      <c r="D249" s="30"/>
    </row>
    <row r="250" spans="2:4">
      <c r="B250" s="7"/>
      <c r="D250" s="30"/>
    </row>
    <row r="251" spans="2:4">
      <c r="B251" s="7"/>
      <c r="D251" s="30"/>
    </row>
    <row r="252" spans="2:4">
      <c r="B252" s="7"/>
      <c r="D252" s="30"/>
    </row>
    <row r="253" spans="2:4">
      <c r="B253" s="7"/>
      <c r="D253" s="30"/>
    </row>
    <row r="254" spans="2:4">
      <c r="B254" s="7"/>
      <c r="D254" s="30"/>
    </row>
    <row r="255" spans="2:4">
      <c r="B255" s="7"/>
      <c r="D255" s="30"/>
    </row>
    <row r="256" spans="2:4">
      <c r="B256" s="7"/>
      <c r="D256" s="30"/>
    </row>
    <row r="257" spans="2:4">
      <c r="B257" s="7"/>
      <c r="D257" s="30"/>
    </row>
    <row r="258" spans="2:4">
      <c r="B258" s="7"/>
      <c r="D258" s="30"/>
    </row>
    <row r="259" spans="2:4">
      <c r="B259" s="7"/>
      <c r="D259" s="30"/>
    </row>
    <row r="260" spans="2:4">
      <c r="B260" s="7"/>
      <c r="D260" s="30"/>
    </row>
    <row r="261" spans="2:4">
      <c r="B261" s="7"/>
      <c r="D261" s="30"/>
    </row>
    <row r="262" spans="2:4">
      <c r="B262" s="7"/>
      <c r="D262" s="30"/>
    </row>
    <row r="263" spans="2:4">
      <c r="B263" s="7"/>
      <c r="D263" s="30"/>
    </row>
    <row r="264" spans="2:4">
      <c r="B264" s="7"/>
      <c r="D264" s="30"/>
    </row>
    <row r="265" spans="2:4">
      <c r="B265" s="7"/>
      <c r="D265" s="30"/>
    </row>
    <row r="266" spans="2:4">
      <c r="B266" s="7"/>
      <c r="D266" s="30"/>
    </row>
    <row r="267" spans="2:4">
      <c r="B267" s="7"/>
      <c r="D267" s="30"/>
    </row>
    <row r="268" spans="2:4">
      <c r="B268" s="7"/>
      <c r="D268" s="30"/>
    </row>
    <row r="269" spans="2:4">
      <c r="B269" s="7"/>
      <c r="D269" s="30"/>
    </row>
    <row r="270" spans="2:4">
      <c r="B270" s="7"/>
      <c r="D270" s="30"/>
    </row>
    <row r="271" spans="2:4">
      <c r="B271" s="7"/>
      <c r="D271" s="30"/>
    </row>
    <row r="272" spans="2:4">
      <c r="B272" s="7"/>
      <c r="D272" s="30"/>
    </row>
    <row r="273" spans="2:4">
      <c r="B273" s="7"/>
      <c r="D273" s="30"/>
    </row>
    <row r="274" spans="2:4">
      <c r="B274" s="7"/>
      <c r="D274" s="30"/>
    </row>
    <row r="275" spans="2:4">
      <c r="B275" s="7"/>
      <c r="D275" s="30"/>
    </row>
    <row r="276" spans="2:4">
      <c r="B276" s="7"/>
      <c r="D276" s="30"/>
    </row>
    <row r="277" spans="2:4">
      <c r="B277" s="7"/>
      <c r="D277" s="30"/>
    </row>
    <row r="278" spans="2:4">
      <c r="B278" s="7"/>
      <c r="D278" s="30"/>
    </row>
    <row r="279" spans="2:4">
      <c r="B279" s="7"/>
      <c r="D279" s="30"/>
    </row>
    <row r="280" spans="2:4">
      <c r="B280" s="7"/>
      <c r="D280" s="30"/>
    </row>
    <row r="281" spans="2:4">
      <c r="B281" s="7"/>
      <c r="D281" s="30"/>
    </row>
    <row r="282" spans="2:4">
      <c r="B282" s="7"/>
      <c r="D282" s="30"/>
    </row>
    <row r="283" spans="2:4">
      <c r="B283" s="7"/>
      <c r="D283" s="30"/>
    </row>
    <row r="284" spans="2:4">
      <c r="B284" s="7"/>
      <c r="D284" s="30"/>
    </row>
    <row r="285" spans="2:4">
      <c r="B285" s="7"/>
      <c r="D285" s="30"/>
    </row>
    <row r="286" spans="2:4">
      <c r="B286" s="7"/>
      <c r="D286" s="30"/>
    </row>
    <row r="287" spans="2:4">
      <c r="B287" s="7"/>
      <c r="D287" s="30"/>
    </row>
    <row r="288" spans="2:4">
      <c r="B288" s="7"/>
      <c r="D288" s="30"/>
    </row>
    <row r="289" spans="2:4">
      <c r="B289" s="7"/>
      <c r="D289" s="30"/>
    </row>
    <row r="290" spans="2:4">
      <c r="B290" s="7"/>
      <c r="D290" s="30"/>
    </row>
    <row r="291" spans="2:4">
      <c r="B291" s="7"/>
      <c r="D291" s="30"/>
    </row>
    <row r="292" spans="2:4">
      <c r="B292" s="7"/>
      <c r="D292" s="30"/>
    </row>
    <row r="293" spans="2:4">
      <c r="B293" s="7"/>
      <c r="D293" s="30"/>
    </row>
    <row r="294" spans="2:4">
      <c r="B294" s="7"/>
      <c r="D294" s="30"/>
    </row>
    <row r="295" spans="2:4">
      <c r="B295" s="7"/>
      <c r="D295" s="30"/>
    </row>
    <row r="296" spans="2:4">
      <c r="B296" s="7"/>
      <c r="D296" s="30"/>
    </row>
    <row r="297" spans="2:4">
      <c r="B297" s="7"/>
      <c r="D297" s="30"/>
    </row>
    <row r="298" spans="2:4">
      <c r="B298" s="7"/>
      <c r="D298" s="30"/>
    </row>
    <row r="299" spans="2:4">
      <c r="B299" s="7"/>
      <c r="D299" s="30"/>
    </row>
    <row r="300" spans="2:4">
      <c r="B300" s="7"/>
      <c r="D300" s="30"/>
    </row>
    <row r="301" spans="2:4">
      <c r="B301" s="7"/>
      <c r="D301" s="30"/>
    </row>
    <row r="302" spans="2:4">
      <c r="B302" s="7"/>
      <c r="D302" s="30"/>
    </row>
    <row r="303" spans="2:4">
      <c r="B303" s="7"/>
      <c r="D303" s="30"/>
    </row>
    <row r="304" spans="2:4">
      <c r="B304" s="7"/>
      <c r="D304" s="30"/>
    </row>
    <row r="305" spans="2:4">
      <c r="B305" s="7"/>
      <c r="D305" s="30"/>
    </row>
    <row r="306" spans="2:4">
      <c r="B306" s="7"/>
      <c r="D306" s="30"/>
    </row>
    <row r="307" spans="2:4">
      <c r="B307" s="7"/>
      <c r="D307" s="30"/>
    </row>
    <row r="308" spans="2:4">
      <c r="B308" s="7"/>
      <c r="D308" s="30"/>
    </row>
    <row r="309" spans="2:4">
      <c r="B309" s="7"/>
      <c r="D309" s="30"/>
    </row>
    <row r="310" spans="2:4">
      <c r="B310" s="7"/>
      <c r="D310" s="30"/>
    </row>
    <row r="311" spans="2:4">
      <c r="B311" s="7"/>
      <c r="D311" s="30"/>
    </row>
    <row r="312" spans="2:4">
      <c r="B312" s="7"/>
      <c r="D312" s="30"/>
    </row>
    <row r="313" spans="2:4">
      <c r="B313" s="7"/>
      <c r="D313" s="30"/>
    </row>
    <row r="314" spans="2:4">
      <c r="B314" s="7"/>
      <c r="D314" s="30"/>
    </row>
    <row r="315" spans="2:4">
      <c r="B315" s="7"/>
      <c r="D315" s="30"/>
    </row>
    <row r="316" spans="2:4">
      <c r="B316" s="7"/>
      <c r="D316" s="30"/>
    </row>
    <row r="317" spans="2:4">
      <c r="B317" s="7"/>
      <c r="D317" s="30"/>
    </row>
    <row r="318" spans="2:4">
      <c r="B318" s="7"/>
      <c r="D318" s="30"/>
    </row>
    <row r="319" spans="2:4">
      <c r="B319" s="7"/>
      <c r="D319" s="30"/>
    </row>
    <row r="320" spans="2:4">
      <c r="B320" s="7"/>
      <c r="D320" s="30"/>
    </row>
    <row r="321" spans="2:4">
      <c r="B321" s="7"/>
      <c r="D321" s="30"/>
    </row>
    <row r="322" spans="2:4">
      <c r="B322" s="7"/>
      <c r="D322" s="30"/>
    </row>
    <row r="323" spans="2:4">
      <c r="B323" s="7"/>
      <c r="D323" s="30"/>
    </row>
    <row r="324" spans="2:4">
      <c r="B324" s="7"/>
      <c r="D324" s="30"/>
    </row>
    <row r="325" spans="2:4">
      <c r="B325" s="7"/>
      <c r="D325" s="30"/>
    </row>
    <row r="326" spans="2:4">
      <c r="B326" s="7"/>
      <c r="D326" s="30"/>
    </row>
    <row r="327" spans="2:4">
      <c r="B327" s="7"/>
      <c r="D327" s="30"/>
    </row>
    <row r="328" spans="2:4">
      <c r="B328" s="7"/>
      <c r="D328" s="30"/>
    </row>
  </sheetData>
  <printOptions horizontalCentered="1" gridLines="1"/>
  <pageMargins left="0.7" right="0.7" top="0.75" bottom="0.75" header="0" footer="0"/>
  <pageSetup paperSize="14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H85"/>
  <sheetViews>
    <sheetView workbookViewId="0"/>
  </sheetViews>
  <sheetFormatPr defaultColWidth="17.28515625" defaultRowHeight="15" customHeight="1"/>
  <cols>
    <col min="3" max="3" width="47.42578125" customWidth="1"/>
  </cols>
  <sheetData>
    <row r="2" spans="1:8">
      <c r="E2" s="40" t="s">
        <v>122</v>
      </c>
    </row>
    <row r="3" spans="1:8">
      <c r="A3" s="41"/>
      <c r="B3" s="41">
        <v>42373</v>
      </c>
      <c r="C3" t="s">
        <v>346</v>
      </c>
      <c r="D3" s="42">
        <v>823.6</v>
      </c>
      <c r="E3" s="40" t="s">
        <v>319</v>
      </c>
    </row>
    <row r="4" spans="1:8">
      <c r="A4" s="41"/>
      <c r="B4" s="41">
        <v>42373</v>
      </c>
      <c r="C4" t="s">
        <v>347</v>
      </c>
      <c r="D4" s="42">
        <v>123.25</v>
      </c>
      <c r="E4" s="40" t="s">
        <v>319</v>
      </c>
    </row>
    <row r="5" spans="1:8">
      <c r="A5" s="41"/>
      <c r="B5" s="41">
        <v>42403</v>
      </c>
      <c r="C5" s="43" t="s">
        <v>348</v>
      </c>
      <c r="D5" s="42">
        <v>62.13</v>
      </c>
      <c r="E5" s="40" t="s">
        <v>319</v>
      </c>
      <c r="G5" s="40" t="s">
        <v>349</v>
      </c>
      <c r="H5" s="40" t="s">
        <v>350</v>
      </c>
    </row>
    <row r="6" spans="1:8">
      <c r="A6" s="41"/>
      <c r="B6" s="41">
        <v>42405</v>
      </c>
      <c r="C6" s="43" t="s">
        <v>351</v>
      </c>
      <c r="D6" s="42">
        <v>823.6</v>
      </c>
      <c r="E6" s="40" t="s">
        <v>319</v>
      </c>
      <c r="F6" s="40">
        <v>1</v>
      </c>
      <c r="G6" s="40">
        <v>823.6</v>
      </c>
    </row>
    <row r="7" spans="1:8">
      <c r="B7" s="44">
        <v>42436</v>
      </c>
      <c r="C7" s="45" t="s">
        <v>351</v>
      </c>
      <c r="D7" s="42">
        <v>823.6</v>
      </c>
      <c r="E7" s="40" t="s">
        <v>319</v>
      </c>
      <c r="F7" s="40">
        <v>2</v>
      </c>
      <c r="G7" s="40">
        <v>823.6</v>
      </c>
    </row>
    <row r="8" spans="1:8">
      <c r="B8" s="44">
        <v>42444</v>
      </c>
      <c r="C8" s="43" t="s">
        <v>352</v>
      </c>
      <c r="D8" s="42">
        <v>310.70999999999998</v>
      </c>
      <c r="E8" s="40" t="s">
        <v>319</v>
      </c>
      <c r="F8" s="40">
        <v>3</v>
      </c>
      <c r="G8" s="40">
        <v>823.6</v>
      </c>
      <c r="H8" s="40">
        <v>310.70999999999998</v>
      </c>
    </row>
    <row r="9" spans="1:8">
      <c r="B9" s="44">
        <v>42450</v>
      </c>
      <c r="C9" s="43" t="s">
        <v>353</v>
      </c>
      <c r="D9" s="42">
        <v>182.66</v>
      </c>
      <c r="E9" s="40" t="s">
        <v>319</v>
      </c>
      <c r="F9" s="40">
        <v>4</v>
      </c>
      <c r="G9" s="40">
        <v>823.6</v>
      </c>
    </row>
    <row r="10" spans="1:8">
      <c r="B10" s="44">
        <v>42466</v>
      </c>
      <c r="C10" s="43" t="s">
        <v>351</v>
      </c>
      <c r="D10" s="42">
        <v>823.6</v>
      </c>
      <c r="E10" s="42" t="s">
        <v>319</v>
      </c>
      <c r="F10" s="40">
        <v>5</v>
      </c>
      <c r="G10" s="40">
        <v>823.6</v>
      </c>
      <c r="H10" s="40">
        <v>1312.08</v>
      </c>
    </row>
    <row r="11" spans="1:8">
      <c r="B11" s="44">
        <v>42467</v>
      </c>
      <c r="C11" s="43" t="s">
        <v>348</v>
      </c>
      <c r="D11" s="42">
        <v>36.380000000000003</v>
      </c>
      <c r="E11" s="40" t="s">
        <v>319</v>
      </c>
      <c r="F11" s="40">
        <v>6</v>
      </c>
      <c r="G11" s="40">
        <v>823.6</v>
      </c>
    </row>
    <row r="12" spans="1:8">
      <c r="B12" s="44">
        <v>42480</v>
      </c>
      <c r="C12" s="43" t="s">
        <v>354</v>
      </c>
      <c r="D12" s="42">
        <v>136.19</v>
      </c>
      <c r="E12" s="42" t="s">
        <v>319</v>
      </c>
      <c r="F12" s="40">
        <v>7</v>
      </c>
      <c r="G12" s="40">
        <v>823.6</v>
      </c>
      <c r="H12" s="40">
        <v>1312.08</v>
      </c>
    </row>
    <row r="13" spans="1:8">
      <c r="B13" s="44"/>
      <c r="C13" s="40"/>
      <c r="D13" s="42"/>
      <c r="F13" s="40">
        <v>8</v>
      </c>
      <c r="G13" s="40">
        <v>823.6</v>
      </c>
    </row>
    <row r="14" spans="1:8" ht="18.75">
      <c r="B14" s="46">
        <v>42491</v>
      </c>
      <c r="C14" s="47" t="s">
        <v>355</v>
      </c>
      <c r="D14" s="48">
        <v>1200</v>
      </c>
      <c r="F14" s="40">
        <v>9</v>
      </c>
      <c r="G14" s="40">
        <v>823.6</v>
      </c>
      <c r="H14" s="40">
        <v>1312.08</v>
      </c>
    </row>
    <row r="15" spans="1:8" ht="18.75">
      <c r="B15" s="46">
        <v>42496</v>
      </c>
      <c r="C15" s="49" t="s">
        <v>351</v>
      </c>
      <c r="D15" s="48">
        <v>823.6</v>
      </c>
      <c r="F15" s="40">
        <v>10</v>
      </c>
      <c r="G15" s="40">
        <v>823.6</v>
      </c>
    </row>
    <row r="16" spans="1:8" ht="18.75">
      <c r="B16" s="46">
        <v>42508</v>
      </c>
      <c r="C16" s="49" t="s">
        <v>352</v>
      </c>
      <c r="D16" s="48">
        <v>1312.08</v>
      </c>
      <c r="F16" s="40">
        <v>11</v>
      </c>
      <c r="G16" s="40">
        <v>823.6</v>
      </c>
      <c r="H16" s="40">
        <v>1312.08</v>
      </c>
    </row>
    <row r="17" spans="2:8" ht="18.75">
      <c r="B17" s="46">
        <v>42508</v>
      </c>
      <c r="C17" s="50" t="s">
        <v>354</v>
      </c>
      <c r="D17" s="48">
        <v>158.96</v>
      </c>
      <c r="F17" s="40">
        <v>12</v>
      </c>
      <c r="G17" s="40">
        <v>823.6</v>
      </c>
    </row>
    <row r="18" spans="2:8" ht="18.75">
      <c r="B18" s="46">
        <v>42510</v>
      </c>
      <c r="C18" s="49" t="s">
        <v>353</v>
      </c>
      <c r="D18" s="48">
        <v>179.82</v>
      </c>
      <c r="F18" s="40">
        <v>1</v>
      </c>
      <c r="G18" s="40">
        <v>1170.67</v>
      </c>
      <c r="H18" s="40">
        <v>1312.08</v>
      </c>
    </row>
    <row r="19" spans="2:8" ht="18.75">
      <c r="B19" s="46">
        <v>42520</v>
      </c>
      <c r="C19" s="49" t="s">
        <v>348</v>
      </c>
      <c r="D19" s="48">
        <v>149.05000000000001</v>
      </c>
      <c r="F19" s="40">
        <v>2</v>
      </c>
      <c r="G19" s="40">
        <v>1136.57</v>
      </c>
    </row>
    <row r="20" spans="2:8" ht="18.75">
      <c r="B20" s="46"/>
      <c r="C20" s="47"/>
      <c r="D20" s="51">
        <f>SUM(D14:D19)</f>
        <v>3823.51</v>
      </c>
      <c r="F20" s="40">
        <v>3</v>
      </c>
      <c r="G20" s="40">
        <v>1136.57</v>
      </c>
      <c r="H20" s="40">
        <v>1312.08</v>
      </c>
    </row>
    <row r="21" spans="2:8" ht="18.75">
      <c r="B21" s="46"/>
      <c r="C21" s="47"/>
      <c r="D21" s="48"/>
      <c r="F21" s="40">
        <v>4</v>
      </c>
      <c r="G21" s="40">
        <v>1136.57</v>
      </c>
    </row>
    <row r="22" spans="2:8" ht="18.75">
      <c r="B22" s="46">
        <v>42522</v>
      </c>
      <c r="C22" s="47" t="s">
        <v>356</v>
      </c>
      <c r="D22" s="48">
        <v>1200</v>
      </c>
      <c r="F22" s="40">
        <v>5</v>
      </c>
      <c r="G22" s="40">
        <v>1136.57</v>
      </c>
      <c r="H22" s="40">
        <v>1312.08</v>
      </c>
    </row>
    <row r="23" spans="2:8" ht="14.25" customHeight="1">
      <c r="B23" s="46">
        <v>42527</v>
      </c>
      <c r="C23" s="49" t="s">
        <v>351</v>
      </c>
      <c r="D23" s="48">
        <v>823.6</v>
      </c>
      <c r="F23" s="40">
        <v>6</v>
      </c>
      <c r="G23" s="40">
        <v>1136.57</v>
      </c>
    </row>
    <row r="24" spans="2:8" ht="18.75">
      <c r="B24" s="46"/>
      <c r="C24" s="47"/>
      <c r="D24" s="51">
        <f>SUM(D22:D23)</f>
        <v>2023.6</v>
      </c>
      <c r="F24" s="40">
        <v>7</v>
      </c>
      <c r="G24" s="40">
        <v>1136.57</v>
      </c>
      <c r="H24" s="40">
        <v>1613.88</v>
      </c>
    </row>
    <row r="25" spans="2:8" ht="18.75">
      <c r="B25" s="46"/>
      <c r="C25" s="47"/>
      <c r="D25" s="48"/>
      <c r="F25" s="40">
        <v>8</v>
      </c>
      <c r="G25" s="40">
        <v>1136.57</v>
      </c>
    </row>
    <row r="26" spans="2:8" ht="18.75">
      <c r="B26" s="46">
        <v>42552</v>
      </c>
      <c r="C26" s="47" t="s">
        <v>357</v>
      </c>
      <c r="D26" s="48">
        <v>1200</v>
      </c>
      <c r="F26" s="40">
        <v>9</v>
      </c>
      <c r="G26" s="40">
        <v>1136.57</v>
      </c>
      <c r="H26" s="40">
        <v>1613.88</v>
      </c>
    </row>
    <row r="27" spans="2:8" ht="18.75">
      <c r="B27" s="46">
        <v>42557</v>
      </c>
      <c r="C27" s="49" t="s">
        <v>351</v>
      </c>
      <c r="D27" s="48">
        <v>823.6</v>
      </c>
    </row>
    <row r="28" spans="2:8" ht="18.75">
      <c r="B28" s="46">
        <v>42566</v>
      </c>
      <c r="C28" s="49" t="s">
        <v>352</v>
      </c>
      <c r="D28" s="48">
        <v>1312.08</v>
      </c>
    </row>
    <row r="29" spans="2:8" ht="18.75">
      <c r="B29" s="46">
        <v>42571</v>
      </c>
      <c r="C29" s="49" t="s">
        <v>353</v>
      </c>
      <c r="D29" s="48">
        <v>234.28</v>
      </c>
    </row>
    <row r="30" spans="2:8" ht="18.75">
      <c r="B30" s="46">
        <v>42572</v>
      </c>
      <c r="C30" s="52" t="s">
        <v>358</v>
      </c>
      <c r="D30" s="48">
        <v>97.52</v>
      </c>
    </row>
    <row r="31" spans="2:8" ht="18.75">
      <c r="B31" s="46"/>
      <c r="C31" s="53"/>
      <c r="D31" s="51">
        <f>SUM(D26:D30)</f>
        <v>3667.48</v>
      </c>
    </row>
    <row r="32" spans="2:8" ht="18.75">
      <c r="B32" s="46"/>
      <c r="C32" s="53"/>
      <c r="D32" s="48"/>
    </row>
    <row r="33" spans="2:5" ht="18.75">
      <c r="B33" s="46">
        <v>42587</v>
      </c>
      <c r="C33" s="49" t="s">
        <v>351</v>
      </c>
      <c r="D33" s="48">
        <v>823.6</v>
      </c>
    </row>
    <row r="34" spans="2:5" ht="18.75">
      <c r="B34" s="46">
        <v>42605</v>
      </c>
      <c r="C34" s="50" t="s">
        <v>354</v>
      </c>
      <c r="D34" s="48">
        <v>224.93</v>
      </c>
    </row>
    <row r="35" spans="2:5" ht="18.75">
      <c r="B35" s="47"/>
      <c r="C35" s="47"/>
      <c r="D35" s="51">
        <f>SUM(D33:D34)</f>
        <v>1048.53</v>
      </c>
    </row>
    <row r="36" spans="2:5" ht="18.75">
      <c r="B36" s="46"/>
      <c r="C36" s="54"/>
      <c r="D36" s="48"/>
    </row>
    <row r="37" spans="2:5" ht="18.75">
      <c r="B37" s="46">
        <v>42619</v>
      </c>
      <c r="C37" s="49" t="s">
        <v>351</v>
      </c>
      <c r="D37" s="48">
        <v>823.6</v>
      </c>
    </row>
    <row r="38" spans="2:5" ht="18.75">
      <c r="B38" s="46">
        <v>42627</v>
      </c>
      <c r="C38" s="49" t="s">
        <v>352</v>
      </c>
      <c r="D38" s="48">
        <v>1312.08</v>
      </c>
    </row>
    <row r="39" spans="2:5" ht="18.75">
      <c r="B39" s="46">
        <v>42633</v>
      </c>
      <c r="C39" s="49" t="s">
        <v>354</v>
      </c>
      <c r="D39" s="48">
        <v>232.46</v>
      </c>
    </row>
    <row r="40" spans="2:5" ht="18.75">
      <c r="B40" s="46">
        <v>42633</v>
      </c>
      <c r="C40" s="53" t="s">
        <v>347</v>
      </c>
      <c r="D40" s="48">
        <v>249.3</v>
      </c>
    </row>
    <row r="41" spans="2:5" ht="18.75">
      <c r="B41" s="47"/>
      <c r="C41" s="47"/>
      <c r="D41" s="55">
        <f>SUM(D37:D40)</f>
        <v>2617.44</v>
      </c>
    </row>
    <row r="42" spans="2:5" ht="18.75">
      <c r="B42" s="46"/>
      <c r="C42" s="54"/>
      <c r="D42" s="56"/>
    </row>
    <row r="43" spans="2:5" ht="18.75">
      <c r="B43" s="46">
        <v>42649</v>
      </c>
      <c r="C43" s="49" t="s">
        <v>351</v>
      </c>
      <c r="D43" s="56">
        <v>823.6</v>
      </c>
    </row>
    <row r="44" spans="2:5" ht="18.75">
      <c r="B44" s="46">
        <v>42662</v>
      </c>
      <c r="C44" s="47" t="s">
        <v>358</v>
      </c>
      <c r="D44" s="56">
        <v>181.25</v>
      </c>
    </row>
    <row r="45" spans="2:5" ht="18.75">
      <c r="B45" s="46">
        <v>42674</v>
      </c>
      <c r="C45" s="47" t="s">
        <v>359</v>
      </c>
      <c r="D45" s="56">
        <v>500</v>
      </c>
      <c r="E45" s="40" t="s">
        <v>122</v>
      </c>
    </row>
    <row r="46" spans="2:5" ht="18.75">
      <c r="B46" s="47"/>
      <c r="C46" s="47"/>
      <c r="D46" s="57">
        <f>SUM(D43:D44)</f>
        <v>1004.85</v>
      </c>
    </row>
    <row r="47" spans="2:5" ht="18.75">
      <c r="B47" s="58"/>
      <c r="C47" s="47"/>
      <c r="D47" s="56"/>
    </row>
    <row r="48" spans="2:5" ht="18.75">
      <c r="B48" s="58">
        <v>42681</v>
      </c>
      <c r="C48" s="47" t="s">
        <v>346</v>
      </c>
      <c r="D48" s="56">
        <v>823.6</v>
      </c>
    </row>
    <row r="49" spans="2:4" ht="18.75">
      <c r="B49" s="58">
        <v>42688</v>
      </c>
      <c r="C49" s="47" t="s">
        <v>360</v>
      </c>
      <c r="D49" s="56">
        <v>1312.08</v>
      </c>
    </row>
    <row r="50" spans="2:4" ht="18.75">
      <c r="B50" s="58">
        <v>42691</v>
      </c>
      <c r="C50" s="47" t="s">
        <v>358</v>
      </c>
      <c r="D50" s="56">
        <v>188.2</v>
      </c>
    </row>
    <row r="51" spans="2:4" ht="18.75">
      <c r="B51" s="46">
        <v>42695</v>
      </c>
      <c r="C51" s="59" t="s">
        <v>353</v>
      </c>
      <c r="D51" s="56">
        <v>180.79</v>
      </c>
    </row>
    <row r="52" spans="2:4" ht="18.75">
      <c r="B52" s="46">
        <v>42704</v>
      </c>
      <c r="C52" s="59" t="s">
        <v>348</v>
      </c>
      <c r="D52" s="56">
        <v>20.75</v>
      </c>
    </row>
    <row r="53" spans="2:4" ht="18.75">
      <c r="B53" s="47"/>
      <c r="C53" s="47"/>
      <c r="D53" s="57">
        <f>SUM(D48:D51)</f>
        <v>2504.6699999999996</v>
      </c>
    </row>
    <row r="55" spans="2:4" ht="18.75">
      <c r="B55" s="46">
        <v>42710</v>
      </c>
      <c r="C55" s="59" t="s">
        <v>351</v>
      </c>
      <c r="D55" s="56">
        <v>823.6</v>
      </c>
    </row>
    <row r="56" spans="2:4" ht="18.75">
      <c r="B56" s="46">
        <v>42725</v>
      </c>
      <c r="C56" s="47" t="s">
        <v>354</v>
      </c>
      <c r="D56" s="56">
        <v>74.489999999999995</v>
      </c>
    </row>
    <row r="57" spans="2:4" ht="18.75">
      <c r="B57" s="46">
        <v>42734</v>
      </c>
      <c r="C57" s="59" t="s">
        <v>348</v>
      </c>
      <c r="D57" s="56">
        <v>20.75</v>
      </c>
    </row>
    <row r="58" spans="2:4" ht="18.75">
      <c r="D58" s="57">
        <f>SUM(D55:D57)</f>
        <v>918.84</v>
      </c>
    </row>
    <row r="60" spans="2:4" ht="18.75">
      <c r="B60" s="46">
        <v>42741</v>
      </c>
      <c r="C60" s="59" t="s">
        <v>351</v>
      </c>
      <c r="D60" s="56">
        <v>1170.67</v>
      </c>
    </row>
    <row r="61" spans="2:4" ht="18.75">
      <c r="B61" s="46">
        <v>42748</v>
      </c>
      <c r="C61" s="59" t="s">
        <v>352</v>
      </c>
      <c r="D61" s="56">
        <v>1312.08</v>
      </c>
    </row>
    <row r="62" spans="2:4" ht="18.75">
      <c r="B62" s="46">
        <v>42751</v>
      </c>
      <c r="C62" s="59" t="s">
        <v>348</v>
      </c>
      <c r="D62" s="56">
        <v>16.170000000000002</v>
      </c>
    </row>
    <row r="63" spans="2:4" ht="18.75">
      <c r="B63" s="46">
        <v>42753</v>
      </c>
      <c r="C63" s="59" t="s">
        <v>354</v>
      </c>
      <c r="D63" s="56">
        <v>78.17</v>
      </c>
    </row>
    <row r="64" spans="2:4" ht="18.75">
      <c r="B64" s="46">
        <v>42755</v>
      </c>
      <c r="C64" s="59" t="s">
        <v>353</v>
      </c>
      <c r="D64" s="56">
        <v>121.2</v>
      </c>
    </row>
    <row r="65" spans="2:5" ht="18.75">
      <c r="D65" s="57">
        <f>SUM(D60:D64)</f>
        <v>2698.29</v>
      </c>
    </row>
    <row r="67" spans="2:5">
      <c r="B67" s="41">
        <v>42772</v>
      </c>
      <c r="C67" s="60" t="s">
        <v>351</v>
      </c>
      <c r="D67" s="61">
        <v>1136.57</v>
      </c>
    </row>
    <row r="68" spans="2:5">
      <c r="B68" s="41">
        <v>42775</v>
      </c>
      <c r="C68" s="60" t="s">
        <v>348</v>
      </c>
      <c r="D68" s="61">
        <v>38.4</v>
      </c>
    </row>
    <row r="69" spans="2:5">
      <c r="B69" s="41">
        <v>42779</v>
      </c>
      <c r="C69" s="60" t="s">
        <v>348</v>
      </c>
      <c r="D69" s="61">
        <v>16.170000000000002</v>
      </c>
    </row>
    <row r="70" spans="2:5">
      <c r="B70" s="41">
        <v>42786</v>
      </c>
      <c r="C70" s="62" t="s">
        <v>354</v>
      </c>
      <c r="D70" s="61">
        <v>159.54</v>
      </c>
    </row>
    <row r="71" spans="2:5" ht="18.75">
      <c r="D71" s="57">
        <f>SUM(D67:D70)</f>
        <v>1350.68</v>
      </c>
    </row>
    <row r="73" spans="2:5">
      <c r="B73" s="41">
        <v>42800</v>
      </c>
      <c r="C73" s="62" t="s">
        <v>351</v>
      </c>
      <c r="D73" s="61">
        <v>1136.57</v>
      </c>
    </row>
    <row r="74" spans="2:5">
      <c r="B74" s="41">
        <v>42807</v>
      </c>
      <c r="C74" s="63" t="s">
        <v>348</v>
      </c>
      <c r="D74" s="61">
        <v>38.4</v>
      </c>
    </row>
    <row r="75" spans="2:5">
      <c r="B75" s="41">
        <v>42810</v>
      </c>
      <c r="C75" s="62" t="s">
        <v>352</v>
      </c>
      <c r="D75" s="61">
        <v>1312.08</v>
      </c>
    </row>
    <row r="76" spans="2:5">
      <c r="B76" s="41">
        <v>42815</v>
      </c>
      <c r="C76" s="60" t="s">
        <v>353</v>
      </c>
      <c r="D76" s="61">
        <v>143.04</v>
      </c>
    </row>
    <row r="77" spans="2:5">
      <c r="B77" s="41">
        <v>42821</v>
      </c>
      <c r="C77" s="60" t="s">
        <v>348</v>
      </c>
      <c r="D77" s="61">
        <v>66.77</v>
      </c>
    </row>
    <row r="78" spans="2:5">
      <c r="B78" s="41">
        <v>42825</v>
      </c>
      <c r="C78" s="60" t="s">
        <v>354</v>
      </c>
      <c r="D78" s="61">
        <v>162.08000000000001</v>
      </c>
    </row>
    <row r="79" spans="2:5" ht="18.75">
      <c r="D79" s="57">
        <f>SUM(D73:D77)</f>
        <v>2696.86</v>
      </c>
      <c r="E79" s="40" t="s">
        <v>319</v>
      </c>
    </row>
    <row r="81" spans="2:4">
      <c r="B81" s="41">
        <v>42830</v>
      </c>
      <c r="C81" s="40" t="s">
        <v>346</v>
      </c>
      <c r="D81" s="61">
        <v>1136.57</v>
      </c>
    </row>
    <row r="82" spans="2:4">
      <c r="B82" s="41">
        <v>42849</v>
      </c>
      <c r="C82" s="40" t="s">
        <v>361</v>
      </c>
      <c r="D82" s="61">
        <v>58.1</v>
      </c>
    </row>
    <row r="83" spans="2:4">
      <c r="B83" s="41">
        <v>42851</v>
      </c>
      <c r="C83" s="40" t="s">
        <v>361</v>
      </c>
      <c r="D83" s="61">
        <v>66.77</v>
      </c>
    </row>
    <row r="85" spans="2:4" ht="18.75">
      <c r="D85" s="57">
        <f>SUM(D81:D83)</f>
        <v>1261.4399999999998</v>
      </c>
    </row>
  </sheetData>
  <hyperlinks>
    <hyperlink ref="C5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xr:uid="{00000000-0004-0000-0400-000006000000}"/>
    <hyperlink ref="C12" r:id="rId8" xr:uid="{00000000-0004-0000-0400-000007000000}"/>
    <hyperlink ref="C15" r:id="rId9" xr:uid="{00000000-0004-0000-0400-000008000000}"/>
    <hyperlink ref="C16" r:id="rId10" xr:uid="{00000000-0004-0000-0400-000009000000}"/>
    <hyperlink ref="C17" r:id="rId11" xr:uid="{00000000-0004-0000-0400-00000A000000}"/>
    <hyperlink ref="C18" r:id="rId12" xr:uid="{00000000-0004-0000-0400-00000B000000}"/>
    <hyperlink ref="C19" r:id="rId13" xr:uid="{00000000-0004-0000-0400-00000C000000}"/>
    <hyperlink ref="C23" r:id="rId14" xr:uid="{00000000-0004-0000-0400-00000D000000}"/>
    <hyperlink ref="C27" r:id="rId15" xr:uid="{00000000-0004-0000-0400-00000E000000}"/>
    <hyperlink ref="C28" r:id="rId16" xr:uid="{00000000-0004-0000-0400-00000F000000}"/>
    <hyperlink ref="C29" r:id="rId17" xr:uid="{00000000-0004-0000-0400-000010000000}"/>
    <hyperlink ref="C33" r:id="rId18" xr:uid="{00000000-0004-0000-0400-000011000000}"/>
    <hyperlink ref="C34" r:id="rId19" xr:uid="{00000000-0004-0000-0400-000012000000}"/>
    <hyperlink ref="C37" r:id="rId20" xr:uid="{00000000-0004-0000-0400-000013000000}"/>
    <hyperlink ref="C38" r:id="rId21" xr:uid="{00000000-0004-0000-0400-000014000000}"/>
    <hyperlink ref="C39" r:id="rId22" xr:uid="{00000000-0004-0000-0400-000015000000}"/>
    <hyperlink ref="C43" r:id="rId23" xr:uid="{00000000-0004-0000-0400-000016000000}"/>
    <hyperlink ref="C51" r:id="rId24" xr:uid="{00000000-0004-0000-0400-000017000000}"/>
    <hyperlink ref="C52" r:id="rId25" xr:uid="{00000000-0004-0000-0400-000018000000}"/>
    <hyperlink ref="C55" r:id="rId26" xr:uid="{00000000-0004-0000-0400-000019000000}"/>
    <hyperlink ref="C57" r:id="rId27" xr:uid="{00000000-0004-0000-0400-00001A000000}"/>
    <hyperlink ref="C60" r:id="rId28" xr:uid="{00000000-0004-0000-0400-00001B000000}"/>
    <hyperlink ref="C61" r:id="rId29" xr:uid="{00000000-0004-0000-0400-00001C000000}"/>
    <hyperlink ref="C62" r:id="rId30" xr:uid="{00000000-0004-0000-0400-00001D000000}"/>
    <hyperlink ref="C63" r:id="rId31" xr:uid="{00000000-0004-0000-0400-00001E000000}"/>
    <hyperlink ref="C64" r:id="rId32" xr:uid="{00000000-0004-0000-0400-00001F000000}"/>
    <hyperlink ref="C67" r:id="rId33" xr:uid="{00000000-0004-0000-0400-000020000000}"/>
    <hyperlink ref="C68" r:id="rId34" xr:uid="{00000000-0004-0000-0400-000021000000}"/>
    <hyperlink ref="C69" r:id="rId35" xr:uid="{00000000-0004-0000-0400-000022000000}"/>
    <hyperlink ref="C70" r:id="rId36" xr:uid="{00000000-0004-0000-0400-000023000000}"/>
    <hyperlink ref="C73" r:id="rId37" xr:uid="{00000000-0004-0000-0400-000024000000}"/>
    <hyperlink ref="C74" r:id="rId38" xr:uid="{00000000-0004-0000-0400-000025000000}"/>
    <hyperlink ref="C75" r:id="rId39" xr:uid="{00000000-0004-0000-0400-000026000000}"/>
    <hyperlink ref="C76" r:id="rId40" xr:uid="{00000000-0004-0000-0400-000027000000}"/>
    <hyperlink ref="C77" r:id="rId41" xr:uid="{00000000-0004-0000-0400-000028000000}"/>
    <hyperlink ref="C78" r:id="rId42" xr:uid="{00000000-0004-0000-04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Banco Frances (ARS)</vt:lpstr>
      <vt:lpstr>Banco Ciudad (ARS)</vt:lpstr>
      <vt:lpstr>MP</vt:lpstr>
      <vt:lpstr>TIA</vt:lpstr>
      <vt:lpstr>Vieja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Salvati</cp:lastModifiedBy>
  <dcterms:modified xsi:type="dcterms:W3CDTF">2026-06-28T00:51:44Z</dcterms:modified>
</cp:coreProperties>
</file>